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ntrates" sheetId="1" r:id="rId5"/>
    <sheet state="hidden" name="Salts" sheetId="2" r:id="rId6"/>
    <sheet state="hidden" name="CaCl2 Solution" sheetId="3" r:id="rId7"/>
    <sheet state="hidden" name="Copy of CaCl2 Solution" sheetId="4" r:id="rId8"/>
  </sheets>
  <definedNames>
    <definedName localSheetId="1" name="M_MgCl2_6H2O">Salts!$C$13</definedName>
    <definedName localSheetId="1" name="Chloride">Salts!$A$49:$E$50</definedName>
    <definedName localSheetId="1" name="M_NO3">Salts!$C$42</definedName>
    <definedName localSheetId="1" name="Sulfate">Salts!$A$45:$E$46</definedName>
    <definedName localSheetId="1" name="eq_Na">Salts!$D$36</definedName>
    <definedName localSheetId="1" name="M_CaCl2_2H2O">Salts!$C$18</definedName>
    <definedName localSheetId="1" name="eq_Mg">Salts!$D$29</definedName>
    <definedName localSheetId="1" name="MagnesiumSalts">Salts!$A$11:$G$13</definedName>
    <definedName localSheetId="1" name="Sodium">Salts!$A$37:$G$37</definedName>
    <definedName localSheetId="1" name="M_NaHCO3">Salts!$C$7</definedName>
    <definedName localSheetId="1" name="eq_Ca">Salts!$D$27</definedName>
    <definedName localSheetId="1" name="eq_HCO3">Salts!$D$31</definedName>
    <definedName localSheetId="1" name="CalciumSalts">Salts!$A$18:$G$21</definedName>
    <definedName localSheetId="1" name="M_MgSO4_7H2O">Salts!$C$11</definedName>
    <definedName localSheetId="1" name="M_CaCl2_anhyd">Salts!$C$21</definedName>
    <definedName localSheetId="1" name="M_MgCl2_anhyd">Salts!$C$14</definedName>
    <definedName localSheetId="1" name="eq_NO3">Salts!$D$42</definedName>
    <definedName localSheetId="1" name="M_CaSO4_anhyd">Salts!$C$22</definedName>
    <definedName localSheetId="1" name="eq_OH">Salts!$D$39</definedName>
    <definedName localSheetId="1" name="M_MgSO4_anhyd">Salts!$C$15</definedName>
    <definedName localSheetId="1" name="eq_SO4">Salts!$D$44</definedName>
    <definedName localSheetId="1" name="Potassium">Salts!$A$34:$E$34</definedName>
    <definedName localSheetId="1" name="eq_K">Salts!$D$33</definedName>
    <definedName localSheetId="1" name="M_CaCO3">Salts!$C$4</definedName>
    <definedName name="concentratesVOL">Concentrates!$B$5</definedName>
    <definedName localSheetId="1" name="Bicarbonates">Salts!$A$7:$G$8</definedName>
    <definedName localSheetId="1" name="eq_Cl">Salts!$D$48</definedName>
    <definedName localSheetId="1" name="M_CaOH2">Salts!$C$20</definedName>
    <definedName localSheetId="1" name="M_CaSO4_2H2O">Salts!$C$19</definedName>
    <definedName localSheetId="1" name="M_MgCl2_2H2O">Salts!$C$12</definedName>
    <definedName localSheetId="1" name="M_Na">Salts!$C$36</definedName>
    <definedName localSheetId="1" name="M_KHCO3">Salts!$C$8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Some droppers have a ml scale on them. This can be useful for mixing larger amounts of recipe water. This section here helps with that.
Most people will never use this though, so you can just ignore this section.</t>
      </text>
    </comment>
    <comment authorId="0" ref="D17">
      <text>
        <t xml:space="preserve">Careful, dissolution of anhydrous CaCl₂ is a strongly exothermic reaction! Only dissolve small amounts at once, and cool your bottle if necessary to avoid it cracking due to heat.</t>
      </text>
    </comment>
    <comment authorId="0" ref="D16">
      <text>
        <t xml:space="preserve">Careful, dissolution of anhydrous CaCl₂ is a strongly exothermic reaction! Only dissolve small amounts at once, and cool your bottle if necessary to avoid it cracking due to heat.</t>
      </text>
    </comment>
    <comment authorId="0" ref="A8">
      <text>
        <t xml:space="preserve">if you use a CaCl₂ solution instead of a solid (pure CaCl₂ is highly hygroscopic) you can enter the strength of your solution here.</t>
      </text>
    </comment>
    <comment authorId="0" ref="B8">
      <text>
        <t xml:space="preserve">You'll only need this if you use a CaCl₂ solution for mixing a CaCl₂ concentrate.</t>
      </text>
    </comment>
    <comment authorId="0" ref="A6">
      <text>
        <t xml:space="preserve">this is basically your batch size, how much coffee water you're planning to mix per batch.</t>
      </text>
    </comment>
    <comment authorId="0" ref="A5">
      <text>
        <t xml:space="preserve">this is the desired volume of your concentrate</t>
      </text>
    </comment>
    <comment authorId="0" ref="B5">
      <text>
        <t xml:space="preserve">Maybe set this a little lower than your actual bottle volume. Adding minerals adds volume, too. Go with 90ml instead of 100ml, for example.
(I learned this the hard way when my bottles overflowed at first.)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
      <text>
        <t xml:space="preserve">not used</t>
      </text>
    </comment>
    <comment authorId="0" ref="G1">
      <text>
        <t xml:space="preserve">at 20°C
in [g/100 m
L H2O]
</t>
      </text>
    </comment>
    <comment authorId="0" ref="A21">
      <text>
        <t xml:space="preserve">not used</t>
      </text>
    </comment>
  </commentList>
</comments>
</file>

<file path=xl/sharedStrings.xml><?xml version="1.0" encoding="utf-8"?>
<sst xmlns="http://schemas.openxmlformats.org/spreadsheetml/2006/main" count="138" uniqueCount="85">
  <si>
    <t>Name and group</t>
  </si>
  <si>
    <t>DIY Water Dropper Concentrates</t>
  </si>
  <si>
    <t>Chemical formula</t>
  </si>
  <si>
    <t>Molar mass g/mol</t>
  </si>
  <si>
    <t>CaCO3 molar ratio</t>
  </si>
  <si>
    <t>% Mass</t>
  </si>
  <si>
    <t>mass concentrates</t>
  </si>
  <si>
    <t>solubility</t>
  </si>
  <si>
    <t>only edit blue boxes please</t>
  </si>
  <si>
    <t>(also, please copy this to your own drive and edit from there)</t>
  </si>
  <si>
    <t>Water</t>
  </si>
  <si>
    <t>H₂O</t>
  </si>
  <si>
    <t>-</t>
  </si>
  <si>
    <t>cells with a black corner have notes attached, hover your cursor over them to read them.</t>
  </si>
  <si>
    <t>Calcium Carbonate</t>
  </si>
  <si>
    <t>CaCO₃</t>
  </si>
  <si>
    <t>Blue cells are inputs. You can change these values.</t>
  </si>
  <si>
    <t>Green cells are outputs. This is most likely what you're here for.</t>
  </si>
  <si>
    <t>Dropper Bottle Volume [ml]</t>
  </si>
  <si>
    <t>volume of your dropper bottles</t>
  </si>
  <si>
    <t>Mixing Container Volume [ml]</t>
  </si>
  <si>
    <t>desired volume per batch</t>
  </si>
  <si>
    <t>Bicarbonate</t>
  </si>
  <si>
    <t>CaCl₂ Solution [% (w/w)]:</t>
  </si>
  <si>
    <t>Sodium Bicarbonate (Bicarb Soda)</t>
  </si>
  <si>
    <t>NaHCO₃</t>
  </si>
  <si>
    <t>Number of drops [#]</t>
  </si>
  <si>
    <t>Use this to determine the volume/mass of individual drops.</t>
  </si>
  <si>
    <t>Measured Weight[g]</t>
  </si>
  <si>
    <t>The more drops you measure, the more accurate this is gonna be.</t>
  </si>
  <si>
    <t>Large batch size [ml]</t>
  </si>
  <si>
    <t>Droplet Weight [g]</t>
  </si>
  <si>
    <t>Solubility in dropper bottle volume:</t>
  </si>
  <si>
    <t>ppm per volume for large batch size:</t>
  </si>
  <si>
    <t>Potassium Bicarbonate</t>
  </si>
  <si>
    <t>KHCO₃</t>
  </si>
  <si>
    <t>Chemical:</t>
  </si>
  <si>
    <t>Calcium Chloride</t>
  </si>
  <si>
    <t>CaCl₂</t>
  </si>
  <si>
    <t>1 drop</t>
  </si>
  <si>
    <t>0.25 ml</t>
  </si>
  <si>
    <t>0.5 ml</t>
  </si>
  <si>
    <t>0.75 ml</t>
  </si>
  <si>
    <t>1 ml</t>
  </si>
  <si>
    <t>Desired ppm (as CaCO3) per drop:</t>
  </si>
  <si>
    <t>Magnesium salts</t>
  </si>
  <si>
    <t>Magnesium Sulphate Heptahydrate (Epsom)</t>
  </si>
  <si>
    <t>MgSO₄ • 7H₂O</t>
  </si>
  <si>
    <t>ppm of Concentrate:</t>
  </si>
  <si>
    <t>Magnesium Chloride Dihydrate</t>
  </si>
  <si>
    <t>MgCl₂ • 2H₂O</t>
  </si>
  <si>
    <t>Magnesium Chloride Hexahydrate</t>
  </si>
  <si>
    <t>MgCl₂ • 6H₂O</t>
  </si>
  <si>
    <t>Magnesium Chloride Anhydrous</t>
  </si>
  <si>
    <t>Magnesium Chloride</t>
  </si>
  <si>
    <t>MgCl₂</t>
  </si>
  <si>
    <t>Magnesium Sulphate Anhydrous</t>
  </si>
  <si>
    <t>MgSO₄</t>
  </si>
  <si>
    <t>Calcium Salts</t>
  </si>
  <si>
    <t>Calcium Chloride Dihydrate</t>
  </si>
  <si>
    <t>CaCl₂ • 2H₂O</t>
  </si>
  <si>
    <t>Calcium Sulphate Dihydrate ⚠️</t>
  </si>
  <si>
    <t>CaSO₄ • 2H₂O</t>
  </si>
  <si>
    <t>Calcium Hydroxide</t>
  </si>
  <si>
    <t>Ca(OH)₂</t>
  </si>
  <si>
    <t>Calcium Chloride Anhydrous ⚠️</t>
  </si>
  <si>
    <t>Calcium Sulphate</t>
  </si>
  <si>
    <t>CaSO₄</t>
  </si>
  <si>
    <t>Calcium Chloride aqueous solution</t>
  </si>
  <si>
    <t>CaCl₂ (aq)</t>
  </si>
  <si>
    <t>Sodium Bicarbonate</t>
  </si>
  <si>
    <t>Magnesium Sulfate</t>
  </si>
  <si>
    <t>Percentage</t>
  </si>
  <si>
    <t>molar mass CaCl2</t>
  </si>
  <si>
    <t>Density CaCl2</t>
  </si>
  <si>
    <t>% w/w</t>
  </si>
  <si>
    <t>density g/cm3</t>
  </si>
  <si>
    <t>molar mass H2O</t>
  </si>
  <si>
    <t>molar mass ratio:</t>
  </si>
  <si>
    <t>density [g/ml]</t>
  </si>
  <si>
    <t>Molarity [mol/L]</t>
  </si>
  <si>
    <t>Solution [mg/L] [ppm]</t>
  </si>
  <si>
    <t>[ppm as CaCO3]</t>
  </si>
  <si>
    <t>Volume</t>
  </si>
  <si>
    <t>Mass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</si>
</sst>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000"/>
  </numFmts>
  <fonts count="15">
    <font>
      <sz val="10.0"/>
      <color rgb="FF000000"/>
      <name val="Arial"/>
      <scheme val="minor"/>
    </font>
    <font>
      <b/>
      <sz val="18.0"/>
      <color theme="1"/>
      <name val="Arial"/>
      <scheme val="minor"/>
    </font>
    <font/>
    <font>
      <b/>
      <sz val="11.0"/>
      <color rgb="FFFFFFFF"/>
      <name val="Arial"/>
      <scheme val="minor"/>
    </font>
    <font>
      <b/>
      <sz val="11.0"/>
      <color rgb="FFFFFFFF"/>
      <name val="Arial"/>
    </font>
    <font>
      <color theme="1"/>
      <name val="Arial"/>
      <scheme val="minor"/>
    </font>
    <font>
      <sz val="11.0"/>
      <color theme="1"/>
      <name val="Arial"/>
      <scheme val="minor"/>
    </font>
    <font>
      <b/>
      <sz val="10.0"/>
      <color theme="1"/>
      <name val="Arial"/>
      <scheme val="minor"/>
    </font>
    <font>
      <color theme="1"/>
      <name val="Arial"/>
    </font>
    <font>
      <b/>
      <color theme="1"/>
      <name val="Arial"/>
      <scheme val="minor"/>
    </font>
    <font>
      <color theme="1"/>
      <name val="Courier New"/>
    </font>
    <font>
      <b/>
      <color theme="1"/>
      <name val="Courier New"/>
    </font>
    <font>
      <sz val="11.0"/>
      <color rgb="FF000000"/>
      <name val="Arial"/>
      <scheme val="minor"/>
    </font>
    <font>
      <b/>
      <sz val="11.0"/>
      <color theme="1"/>
      <name val="Arial"/>
      <scheme val="minor"/>
    </font>
    <font>
      <sz val="11.0"/>
      <color rgb="FF1155CC"/>
      <name val="Inconsolata"/>
    </font>
  </fonts>
  <fills count="14">
    <fill>
      <patternFill patternType="none"/>
    </fill>
    <fill>
      <patternFill patternType="lightGray"/>
    </fill>
    <fill>
      <patternFill patternType="solid">
        <fgColor rgb="FF4A86E8"/>
        <bgColor rgb="FF4A86E8"/>
      </patternFill>
    </fill>
    <fill>
      <patternFill patternType="solid">
        <fgColor rgb="FFD9D9D9"/>
        <bgColor rgb="FFD9D9D9"/>
      </patternFill>
    </fill>
    <fill>
      <patternFill patternType="solid">
        <fgColor rgb="FFFFFFFF"/>
        <bgColor rgb="FFFFFFFF"/>
      </patternFill>
    </fill>
    <fill>
      <patternFill patternType="solid">
        <fgColor rgb="FF6D9EEB"/>
        <bgColor rgb="FF6D9EEB"/>
      </patternFill>
    </fill>
    <fill>
      <patternFill patternType="solid">
        <fgColor rgb="FF93C47D"/>
        <bgColor rgb="FF93C47D"/>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F4CCCC"/>
        <bgColor rgb="FFF4CCCC"/>
      </patternFill>
    </fill>
    <fill>
      <patternFill patternType="solid">
        <fgColor rgb="FFEFEFEF"/>
        <bgColor rgb="FFEFEFEF"/>
      </patternFill>
    </fill>
    <fill>
      <patternFill patternType="solid">
        <fgColor rgb="FF9FC5E8"/>
        <bgColor rgb="FF9FC5E8"/>
      </patternFill>
    </fill>
    <fill>
      <patternFill patternType="solid">
        <fgColor rgb="FFCFE2F3"/>
        <bgColor rgb="FFCFE2F3"/>
      </patternFill>
    </fill>
  </fills>
  <borders count="48">
    <border/>
    <border>
      <bottom style="thin">
        <color rgb="FFFFFFFF"/>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FFFFFF"/>
      </right>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bottom style="thin">
        <color rgb="FFFFFFFF"/>
      </bottom>
    </border>
    <border>
      <left style="thin">
        <color rgb="FFFFFFFF"/>
      </left>
      <right style="thin">
        <color rgb="FFFFFFFF"/>
      </right>
      <top style="thin">
        <color rgb="FFFFFFFF"/>
      </top>
    </border>
    <border>
      <right style="thin">
        <color rgb="FFFFFFFF"/>
      </right>
      <top style="thin">
        <color rgb="FFFFFFFF"/>
      </top>
    </border>
    <border>
      <left style="thin">
        <color rgb="FFFFFFFF"/>
      </lef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FFFFFF"/>
      </top>
    </border>
    <border>
      <left style="thin">
        <color rgb="FFFFFFFF"/>
      </left>
      <top style="thin">
        <color rgb="FFFFFFFF"/>
      </top>
    </border>
    <border>
      <left style="thin">
        <color rgb="FF000000"/>
      </left>
      <top style="thin">
        <color rgb="FF000000"/>
      </top>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FFFFFF"/>
      </right>
    </border>
    <border>
      <left style="thin">
        <color rgb="FF000000"/>
      </left>
      <right style="thin">
        <color rgb="FF000000"/>
      </right>
      <bottom style="thin">
        <color rgb="FF000000"/>
      </bottom>
    </border>
    <border>
      <left style="thin">
        <color rgb="FF000000"/>
      </left>
      <right style="thin">
        <color rgb="FFFFFFFF"/>
      </right>
      <bottom style="thin">
        <color rgb="FFFFFFFF"/>
      </bottom>
    </border>
    <border>
      <top style="thin">
        <color rgb="FFFFFFFF"/>
      </top>
      <bottom style="thin">
        <color rgb="FFFFFFFF"/>
      </bottom>
    </border>
    <border>
      <left style="thin">
        <color rgb="FFFFFFFF"/>
      </left>
    </border>
    <border>
      <left style="thin">
        <color rgb="FF000000"/>
      </left>
      <right style="thin">
        <color rgb="FFFFFFFF"/>
      </right>
      <top style="thin">
        <color rgb="FFFFFFFF"/>
      </top>
    </border>
    <border>
      <left style="thin">
        <color rgb="FF000000"/>
      </left>
      <right style="thin">
        <color rgb="FFFFFFFF"/>
      </right>
    </border>
    <border>
      <left style="thin">
        <color rgb="FF000000"/>
      </left>
    </border>
    <border>
      <left style="thin">
        <color rgb="FF000000"/>
      </left>
      <right style="thin">
        <color rgb="FF000000"/>
      </right>
      <top style="thin">
        <color rgb="FF000000"/>
      </top>
    </border>
    <border>
      <right style="thin">
        <color rgb="FF000000"/>
      </right>
    </border>
    <border>
      <left style="thin">
        <color rgb="FFFFFFFF"/>
      </left>
      <right style="thin">
        <color rgb="FF000000"/>
      </right>
      <bottom style="thin">
        <color rgb="FFFFFFFF"/>
      </bottom>
    </border>
    <border>
      <left style="thin">
        <color rgb="FFFFFFFF"/>
      </left>
      <right style="thin">
        <color rgb="FF000000"/>
      </right>
      <top style="thin">
        <color rgb="FFFFFFFF"/>
      </top>
    </border>
    <border>
      <right style="thin">
        <color rgb="FFFFFFFF"/>
      </right>
      <top style="thin">
        <color rgb="FF000000"/>
      </top>
      <bottom style="thin">
        <color rgb="FFFFFFFF"/>
      </bottom>
    </border>
    <border>
      <left style="thin">
        <color rgb="FFFFFFFF"/>
      </left>
      <top style="thin">
        <color rgb="FF000000"/>
      </top>
      <bottom style="thin">
        <color rgb="FFFFFFFF"/>
      </bottom>
    </border>
    <border>
      <left style="thin">
        <color rgb="FF000000"/>
      </left>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right/>
    </border>
    <border>
      <right style="thin">
        <color rgb="FFFFFFFF"/>
      </right>
      <bottom style="thin">
        <color rgb="FF000000"/>
      </bottom>
    </border>
    <border>
      <left style="thin">
        <color rgb="FFFFFFFF"/>
      </left>
      <right style="thin">
        <color rgb="FFFFFFFF"/>
      </right>
      <bottom style="thin">
        <color rgb="FF000000"/>
      </bottom>
    </border>
    <border>
      <left style="thin">
        <color rgb="FFFFFFFF"/>
      </left>
      <bottom style="thin">
        <color rgb="FF000000"/>
      </bottom>
    </border>
    <border>
      <left style="thin">
        <color rgb="FF000000"/>
      </left>
      <right style="thin">
        <color rgb="FFFFFFFF"/>
      </right>
      <bottom style="thin">
        <color rgb="FF000000"/>
      </bottom>
    </border>
    <border>
      <left style="thin">
        <color rgb="FFFFFFFF"/>
      </left>
      <right style="thin">
        <color rgb="FF000000"/>
      </right>
      <bottom style="thin">
        <color rgb="FF000000"/>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Border="1" applyFont="1"/>
    <xf borderId="2" fillId="0" fontId="2" numFmtId="0" xfId="0" applyBorder="1" applyFont="1"/>
    <xf borderId="0" fillId="2" fontId="3" numFmtId="0" xfId="0" applyAlignment="1" applyFill="1" applyFont="1">
      <alignment readingOrder="0"/>
    </xf>
    <xf borderId="0" fillId="2" fontId="4" numFmtId="0" xfId="0" applyAlignment="1" applyFill="1" applyFont="1">
      <alignment vertical="bottom"/>
    </xf>
    <xf borderId="3" fillId="0" fontId="5" numFmtId="0" xfId="0" applyBorder="1" applyFont="1"/>
    <xf borderId="0" fillId="2" fontId="3" numFmtId="0" xfId="0" applyAlignment="1" applyFill="1" applyFont="1">
      <alignment horizontal="center" readingOrder="0"/>
    </xf>
    <xf borderId="0" fillId="2" fontId="3" numFmtId="10" xfId="0" applyAlignment="1" applyFill="1" applyFont="1" applyNumberFormat="1">
      <alignment horizontal="center" readingOrder="0"/>
    </xf>
    <xf borderId="4" fillId="0" fontId="5" numFmtId="0" xfId="0" applyBorder="1" applyFont="1"/>
    <xf borderId="0" fillId="0" fontId="6" numFmtId="0" xfId="0" applyFont="1"/>
    <xf borderId="0" fillId="0" fontId="5" numFmtId="0" xfId="0" applyAlignment="1" applyFont="1">
      <alignment readingOrder="0"/>
    </xf>
    <xf borderId="5" fillId="0" fontId="7" numFmtId="0" xfId="0" applyAlignment="1" applyBorder="1" applyFont="1">
      <alignment readingOrder="0"/>
    </xf>
    <xf borderId="0" fillId="0" fontId="8" numFmtId="0" xfId="0" applyAlignment="1" applyFont="1">
      <alignment vertical="bottom"/>
    </xf>
    <xf borderId="0" fillId="0" fontId="5" numFmtId="0" xfId="0" applyAlignment="1" applyFont="1">
      <alignment horizontal="center"/>
    </xf>
    <xf borderId="6" fillId="0" fontId="7" numFmtId="0" xfId="0" applyAlignment="1" applyBorder="1" applyFont="1">
      <alignment readingOrder="0"/>
    </xf>
    <xf borderId="0" fillId="0" fontId="5" numFmtId="10" xfId="0" applyAlignment="1" applyFont="1" applyNumberFormat="1">
      <alignment horizontal="center"/>
    </xf>
    <xf borderId="2" fillId="0" fontId="1" numFmtId="0" xfId="0" applyAlignment="1" applyBorder="1" applyFont="1">
      <alignment readingOrder="0"/>
    </xf>
    <xf borderId="0" fillId="3" fontId="5" numFmtId="0" xfId="0" applyAlignment="1" applyFill="1" applyFont="1">
      <alignment readingOrder="0"/>
    </xf>
    <xf borderId="7" fillId="0" fontId="5" numFmtId="0" xfId="0" applyBorder="1" applyFont="1"/>
    <xf borderId="0" fillId="3" fontId="8" numFmtId="0" xfId="0" applyAlignment="1" applyFill="1" applyFont="1">
      <alignment readingOrder="0" vertical="bottom"/>
    </xf>
    <xf borderId="8" fillId="4" fontId="9" numFmtId="0" xfId="0" applyAlignment="1" applyBorder="1" applyFill="1" applyFont="1">
      <alignment readingOrder="0"/>
    </xf>
    <xf borderId="0" fillId="3" fontId="10" numFmtId="164" xfId="0" applyAlignment="1" applyFill="1" applyFont="1" applyNumberFormat="1">
      <alignment horizontal="center" readingOrder="0"/>
    </xf>
    <xf borderId="2" fillId="0" fontId="5" numFmtId="0" xfId="0" applyBorder="1" applyFont="1"/>
    <xf borderId="0" fillId="3" fontId="10" numFmtId="1" xfId="0" applyAlignment="1" applyFill="1" applyFont="1" applyNumberFormat="1">
      <alignment horizontal="center" readingOrder="0"/>
    </xf>
    <xf borderId="0" fillId="3" fontId="10" numFmtId="10" xfId="0" applyAlignment="1" applyFill="1" applyFont="1" applyNumberFormat="1">
      <alignment horizontal="center" readingOrder="0"/>
    </xf>
    <xf borderId="0" fillId="3" fontId="10" numFmtId="165" xfId="0" applyAlignment="1" applyFill="1" applyFont="1" applyNumberFormat="1">
      <alignment horizontal="center" readingOrder="0"/>
    </xf>
    <xf borderId="9" fillId="0" fontId="9" numFmtId="0" xfId="0" applyAlignment="1" applyBorder="1" applyFont="1">
      <alignment readingOrder="0"/>
    </xf>
    <xf borderId="8" fillId="0" fontId="5" numFmtId="0" xfId="0" applyBorder="1" applyFont="1"/>
    <xf borderId="0" fillId="3" fontId="8" numFmtId="0" xfId="0" applyAlignment="1" applyFill="1" applyFont="1">
      <alignment vertical="bottom"/>
    </xf>
    <xf borderId="6" fillId="0" fontId="1" numFmtId="0" xfId="0" applyAlignment="1" applyBorder="1" applyFont="1">
      <alignment readingOrder="0"/>
    </xf>
    <xf borderId="0" fillId="3" fontId="10" numFmtId="0" xfId="0" applyAlignment="1" applyFill="1" applyFont="1">
      <alignment horizontal="center" readingOrder="0"/>
    </xf>
    <xf borderId="6" fillId="0" fontId="5" numFmtId="0" xfId="0" applyBorder="1" applyFont="1"/>
    <xf borderId="10" fillId="0" fontId="5" numFmtId="0" xfId="0" applyBorder="1" applyFont="1"/>
    <xf borderId="11" fillId="5" fontId="9" numFmtId="0" xfId="0" applyAlignment="1" applyBorder="1" applyFill="1" applyFont="1">
      <alignment readingOrder="0"/>
    </xf>
    <xf borderId="12" fillId="0" fontId="2" numFmtId="0" xfId="0" applyBorder="1" applyFont="1"/>
    <xf borderId="13" fillId="0" fontId="2" numFmtId="0" xfId="0" applyBorder="1" applyFont="1"/>
    <xf borderId="5" fillId="0" fontId="5" numFmtId="0" xfId="0" applyBorder="1" applyFont="1"/>
    <xf borderId="14" fillId="0" fontId="5" numFmtId="0" xfId="0" applyBorder="1" applyFont="1"/>
    <xf borderId="15" fillId="0" fontId="5" numFmtId="0" xfId="0" applyBorder="1" applyFont="1"/>
    <xf borderId="11" fillId="6" fontId="9" numFmtId="0" xfId="0" applyAlignment="1" applyBorder="1" applyFill="1" applyFont="1">
      <alignment readingOrder="0"/>
    </xf>
    <xf borderId="16" fillId="0" fontId="5" numFmtId="0" xfId="0" applyAlignment="1" applyBorder="1" applyFont="1">
      <alignment readingOrder="0"/>
    </xf>
    <xf borderId="17" fillId="5" fontId="5" numFmtId="0" xfId="0" applyAlignment="1" applyBorder="1" applyFill="1" applyFont="1">
      <alignment readingOrder="0"/>
    </xf>
    <xf borderId="18" fillId="0" fontId="5" numFmtId="0" xfId="0" applyAlignment="1" applyBorder="1" applyFont="1">
      <alignment readingOrder="0"/>
    </xf>
    <xf borderId="19" fillId="0" fontId="5" numFmtId="0" xfId="0" applyBorder="1" applyFont="1"/>
    <xf borderId="0" fillId="0" fontId="8" numFmtId="0" xfId="0" applyAlignment="1" applyFont="1">
      <alignment vertical="bottom"/>
    </xf>
    <xf borderId="0" fillId="0" fontId="10" numFmtId="0" xfId="0" applyAlignment="1" applyFont="1">
      <alignment horizontal="center"/>
    </xf>
    <xf borderId="20" fillId="0" fontId="5" numFmtId="0" xfId="0" applyAlignment="1" applyBorder="1" applyFont="1">
      <alignment readingOrder="0"/>
    </xf>
    <xf borderId="0" fillId="0" fontId="10" numFmtId="165" xfId="0" applyAlignment="1" applyFont="1" applyNumberFormat="1">
      <alignment horizontal="center"/>
    </xf>
    <xf borderId="0" fillId="0" fontId="10" numFmtId="10" xfId="0" applyAlignment="1" applyFont="1" applyNumberFormat="1">
      <alignment horizontal="center"/>
    </xf>
    <xf borderId="21" fillId="0" fontId="5" numFmtId="0" xfId="0" applyAlignment="1" applyBorder="1" applyFont="1">
      <alignment readingOrder="0"/>
    </xf>
    <xf borderId="0" fillId="7" fontId="9" numFmtId="0" xfId="0" applyAlignment="1" applyFill="1" applyFont="1">
      <alignment readingOrder="0"/>
    </xf>
    <xf borderId="22" fillId="0" fontId="5" numFmtId="0" xfId="0" applyBorder="1" applyFont="1"/>
    <xf borderId="0" fillId="7" fontId="8" numFmtId="0" xfId="0" applyAlignment="1" applyFill="1" applyFont="1">
      <alignment vertical="bottom"/>
    </xf>
    <xf borderId="0" fillId="7" fontId="11" numFmtId="0" xfId="0" applyAlignment="1" applyFill="1" applyFont="1">
      <alignment horizontal="center" readingOrder="0"/>
    </xf>
    <xf borderId="23" fillId="0" fontId="5" numFmtId="0" xfId="0" applyAlignment="1" applyBorder="1" applyFont="1">
      <alignment readingOrder="0"/>
    </xf>
    <xf borderId="0" fillId="7" fontId="11" numFmtId="165" xfId="0" applyAlignment="1" applyFill="1" applyFont="1" applyNumberFormat="1">
      <alignment horizontal="center" readingOrder="0"/>
    </xf>
    <xf borderId="0" fillId="7" fontId="11" numFmtId="10" xfId="0" applyAlignment="1" applyFill="1" applyFont="1" applyNumberFormat="1">
      <alignment horizontal="center" readingOrder="0"/>
    </xf>
    <xf borderId="17" fillId="0" fontId="5" numFmtId="0" xfId="0" applyAlignment="1" applyBorder="1" applyFont="1">
      <alignment readingOrder="0"/>
    </xf>
    <xf borderId="0" fillId="8" fontId="5" numFmtId="0" xfId="0" applyAlignment="1" applyFill="1" applyFont="1">
      <alignment readingOrder="0"/>
    </xf>
    <xf borderId="0" fillId="8" fontId="8" numFmtId="0" xfId="0" applyAlignment="1" applyFill="1" applyFont="1">
      <alignment vertical="bottom"/>
    </xf>
    <xf borderId="0" fillId="8" fontId="10" numFmtId="0" xfId="0" applyAlignment="1" applyFill="1" applyFont="1">
      <alignment horizontal="center" readingOrder="0"/>
    </xf>
    <xf borderId="18" fillId="0" fontId="5" numFmtId="0" xfId="0" applyBorder="1" applyFont="1"/>
    <xf borderId="24" fillId="5" fontId="5" numFmtId="0" xfId="0" applyAlignment="1" applyBorder="1" applyFill="1" applyFont="1">
      <alignment readingOrder="0"/>
    </xf>
    <xf borderId="21" fillId="0" fontId="5" numFmtId="0" xfId="0" applyBorder="1" applyFont="1"/>
    <xf borderId="11" fillId="0" fontId="5" numFmtId="0" xfId="0" applyAlignment="1" applyBorder="1" applyFont="1">
      <alignment readingOrder="0"/>
    </xf>
    <xf borderId="9" fillId="0" fontId="5" numFmtId="0" xfId="0" applyBorder="1" applyFont="1"/>
    <xf borderId="0" fillId="8" fontId="10" numFmtId="165" xfId="0" applyAlignment="1" applyFill="1" applyFont="1" applyNumberFormat="1">
      <alignment horizontal="center" readingOrder="0"/>
    </xf>
    <xf borderId="0" fillId="8" fontId="10" numFmtId="10" xfId="0" applyAlignment="1" applyFill="1" applyFont="1" applyNumberFormat="1">
      <alignment horizontal="center" readingOrder="0"/>
    </xf>
    <xf borderId="17" fillId="0" fontId="5" numFmtId="0" xfId="0" applyBorder="1" applyFont="1"/>
    <xf borderId="25" fillId="0" fontId="5" numFmtId="0" xfId="0" applyBorder="1" applyFont="1"/>
    <xf borderId="26" fillId="0" fontId="5" numFmtId="0" xfId="0" applyBorder="1" applyFont="1"/>
    <xf borderId="23" fillId="0" fontId="5" numFmtId="0" xfId="0" applyBorder="1" applyFont="1"/>
    <xf borderId="27" fillId="0" fontId="5" numFmtId="0" xfId="0" applyBorder="1" applyFont="1"/>
    <xf borderId="28" fillId="0" fontId="5" numFmtId="0" xfId="0" applyBorder="1" applyFont="1"/>
    <xf borderId="29" fillId="0" fontId="5" numFmtId="0" xfId="0" applyBorder="1" applyFont="1"/>
    <xf borderId="18" fillId="0" fontId="2" numFmtId="0" xfId="0" applyBorder="1" applyFont="1"/>
    <xf borderId="11" fillId="3" fontId="9" numFmtId="0" xfId="0" applyAlignment="1" applyBorder="1" applyFill="1" applyFont="1">
      <alignment readingOrder="0"/>
    </xf>
    <xf borderId="12" fillId="3" fontId="5" numFmtId="0" xfId="0" applyAlignment="1" applyBorder="1" applyFill="1" applyFont="1">
      <alignment readingOrder="0"/>
    </xf>
    <xf borderId="11" fillId="0" fontId="5" numFmtId="0" xfId="0" applyBorder="1" applyFont="1"/>
    <xf borderId="12" fillId="0" fontId="5" numFmtId="0" xfId="0" applyAlignment="1" applyBorder="1" applyFont="1">
      <alignment readingOrder="0"/>
    </xf>
    <xf borderId="13" fillId="0" fontId="5" numFmtId="0" xfId="0" applyAlignment="1" applyBorder="1" applyFont="1">
      <alignment readingOrder="0"/>
    </xf>
    <xf borderId="30" fillId="0" fontId="5" numFmtId="0" xfId="0" applyAlignment="1" applyBorder="1" applyFont="1">
      <alignment readingOrder="0"/>
    </xf>
    <xf borderId="31" fillId="5" fontId="5" numFmtId="0" xfId="0" applyAlignment="1" applyBorder="1" applyFill="1" applyFont="1">
      <alignment readingOrder="0"/>
    </xf>
    <xf borderId="0" fillId="9" fontId="9" numFmtId="0" xfId="0" applyAlignment="1" applyFill="1" applyFont="1">
      <alignment readingOrder="0"/>
    </xf>
    <xf borderId="0" fillId="6" fontId="6" numFmtId="0" xfId="0" applyFill="1" applyFont="1"/>
    <xf borderId="0" fillId="9" fontId="8" numFmtId="0" xfId="0" applyAlignment="1" applyFill="1" applyFont="1">
      <alignment vertical="bottom"/>
    </xf>
    <xf borderId="0" fillId="9" fontId="11" numFmtId="0" xfId="0" applyAlignment="1" applyFill="1" applyFont="1">
      <alignment horizontal="center" readingOrder="0"/>
    </xf>
    <xf borderId="0" fillId="9" fontId="11" numFmtId="165" xfId="0" applyAlignment="1" applyFill="1" applyFont="1" applyNumberFormat="1">
      <alignment horizontal="center" readingOrder="0"/>
    </xf>
    <xf borderId="0" fillId="9" fontId="11" numFmtId="10" xfId="0" applyAlignment="1" applyFill="1" applyFont="1" applyNumberFormat="1">
      <alignment horizontal="center"/>
    </xf>
    <xf borderId="0" fillId="10" fontId="5" numFmtId="0" xfId="0" applyAlignment="1" applyFill="1" applyFont="1">
      <alignment readingOrder="0"/>
    </xf>
    <xf borderId="0" fillId="10" fontId="8" numFmtId="0" xfId="0" applyAlignment="1" applyFill="1" applyFont="1">
      <alignment vertical="bottom"/>
    </xf>
    <xf borderId="0" fillId="10" fontId="10" numFmtId="0" xfId="0" applyAlignment="1" applyFill="1" applyFont="1">
      <alignment horizontal="center" readingOrder="0"/>
    </xf>
    <xf borderId="30" fillId="6" fontId="5" numFmtId="0" xfId="0" applyBorder="1" applyFill="1" applyFont="1"/>
    <xf borderId="19" fillId="6" fontId="5" numFmtId="0" xfId="0" applyBorder="1" applyFill="1" applyFont="1"/>
    <xf borderId="0" fillId="10" fontId="10" numFmtId="165" xfId="0" applyAlignment="1" applyFill="1" applyFont="1" applyNumberFormat="1">
      <alignment horizontal="center" readingOrder="0"/>
    </xf>
    <xf borderId="0" fillId="10" fontId="10" numFmtId="10" xfId="0" applyAlignment="1" applyFill="1" applyFont="1" applyNumberFormat="1">
      <alignment horizontal="center"/>
    </xf>
    <xf borderId="0" fillId="6" fontId="5" numFmtId="0" xfId="0" applyFill="1" applyFont="1"/>
    <xf borderId="32" fillId="6" fontId="5" numFmtId="0" xfId="0" applyBorder="1" applyFill="1" applyFont="1"/>
    <xf borderId="32" fillId="0" fontId="2" numFmtId="0" xfId="0" applyBorder="1" applyFont="1"/>
    <xf borderId="0" fillId="0" fontId="5" numFmtId="2" xfId="0" applyFont="1" applyNumberFormat="1"/>
    <xf borderId="33" fillId="0" fontId="5" numFmtId="0" xfId="0" applyBorder="1" applyFont="1"/>
    <xf borderId="27" fillId="0" fontId="5" numFmtId="0" xfId="0" applyAlignment="1" applyBorder="1" applyFont="1">
      <alignment readingOrder="0"/>
    </xf>
    <xf borderId="30" fillId="0" fontId="5" numFmtId="2" xfId="0" applyBorder="1" applyFont="1" applyNumberFormat="1"/>
    <xf borderId="0" fillId="10" fontId="10" numFmtId="10" xfId="0" applyAlignment="1" applyFill="1" applyFont="1" applyNumberFormat="1">
      <alignment horizontal="center" readingOrder="0"/>
    </xf>
    <xf borderId="30" fillId="6" fontId="5" numFmtId="0" xfId="0" applyAlignment="1" applyBorder="1" applyFill="1" applyFont="1">
      <alignment readingOrder="0"/>
    </xf>
    <xf borderId="34" fillId="0" fontId="5" numFmtId="0" xfId="0" applyBorder="1" applyFont="1"/>
    <xf borderId="35" fillId="0" fontId="5" numFmtId="0" xfId="0" applyBorder="1" applyFont="1"/>
    <xf borderId="36" fillId="0" fontId="5" numFmtId="0" xfId="0" applyBorder="1" applyFont="1"/>
    <xf borderId="37" fillId="0" fontId="5" numFmtId="0" xfId="0" applyBorder="1" applyFont="1"/>
    <xf borderId="38" fillId="0" fontId="5" numFmtId="0" xfId="0" applyBorder="1" applyFont="1"/>
    <xf borderId="0" fillId="11" fontId="5" numFmtId="0" xfId="0" applyAlignment="1" applyFill="1" applyFont="1">
      <alignment readingOrder="0"/>
    </xf>
    <xf borderId="0" fillId="11" fontId="8" numFmtId="0" xfId="0" applyAlignment="1" applyFill="1" applyFont="1">
      <alignment vertical="bottom"/>
    </xf>
    <xf borderId="0" fillId="11" fontId="10" numFmtId="0" xfId="0" applyAlignment="1" applyFill="1" applyFont="1">
      <alignment horizontal="center" readingOrder="0"/>
    </xf>
    <xf borderId="0" fillId="11" fontId="10" numFmtId="165" xfId="0" applyAlignment="1" applyFill="1" applyFont="1" applyNumberFormat="1">
      <alignment horizontal="center"/>
    </xf>
    <xf borderId="0" fillId="11" fontId="10" numFmtId="10" xfId="0" applyAlignment="1" applyFill="1" applyFont="1" applyNumberFormat="1">
      <alignment horizontal="center"/>
    </xf>
    <xf borderId="0" fillId="6" fontId="12" numFmtId="0" xfId="0" applyFill="1" applyFont="1"/>
    <xf borderId="0" fillId="11" fontId="10" numFmtId="165" xfId="0" applyAlignment="1" applyFill="1" applyFont="1" applyNumberFormat="1">
      <alignment horizontal="center" readingOrder="0"/>
    </xf>
    <xf borderId="0" fillId="0" fontId="9" numFmtId="0" xfId="0" applyFont="1"/>
    <xf borderId="0" fillId="12" fontId="9" numFmtId="0" xfId="0" applyAlignment="1" applyFill="1" applyFont="1">
      <alignment readingOrder="0"/>
    </xf>
    <xf borderId="0" fillId="12" fontId="8" numFmtId="0" xfId="0" applyAlignment="1" applyFill="1" applyFont="1">
      <alignment vertical="bottom"/>
    </xf>
    <xf borderId="0" fillId="12" fontId="11" numFmtId="0" xfId="0" applyAlignment="1" applyFill="1" applyFont="1">
      <alignment horizontal="center" readingOrder="0"/>
    </xf>
    <xf borderId="0" fillId="12" fontId="11" numFmtId="165" xfId="0" applyAlignment="1" applyFill="1" applyFont="1" applyNumberFormat="1">
      <alignment horizontal="center" readingOrder="0"/>
    </xf>
    <xf borderId="0" fillId="12" fontId="11" numFmtId="10" xfId="0" applyAlignment="1" applyFill="1" applyFont="1" applyNumberFormat="1">
      <alignment horizontal="center"/>
    </xf>
    <xf borderId="0" fillId="13" fontId="5" numFmtId="0" xfId="0" applyAlignment="1" applyFill="1" applyFont="1">
      <alignment readingOrder="0"/>
    </xf>
    <xf borderId="0" fillId="13" fontId="8" numFmtId="0" xfId="0" applyAlignment="1" applyFill="1" applyFont="1">
      <alignment vertical="bottom"/>
    </xf>
    <xf borderId="0" fillId="13" fontId="10" numFmtId="0" xfId="0" applyAlignment="1" applyFill="1" applyFont="1">
      <alignment horizontal="center" readingOrder="0"/>
    </xf>
    <xf borderId="0" fillId="13" fontId="10" numFmtId="165" xfId="0" applyAlignment="1" applyFill="1" applyFont="1" applyNumberFormat="1">
      <alignment horizontal="center" readingOrder="0"/>
    </xf>
    <xf borderId="0" fillId="13" fontId="10" numFmtId="10" xfId="0" applyAlignment="1" applyFill="1" applyFont="1" applyNumberFormat="1">
      <alignment horizontal="center"/>
    </xf>
    <xf borderId="20" fillId="0" fontId="5" numFmtId="0" xfId="0" applyBorder="1" applyFont="1"/>
    <xf borderId="21" fillId="0" fontId="2" numFmtId="0" xfId="0" applyBorder="1" applyFont="1"/>
    <xf borderId="0" fillId="13" fontId="10" numFmtId="10" xfId="0" applyAlignment="1" applyFill="1" applyFont="1" applyNumberFormat="1">
      <alignment horizontal="center" readingOrder="0"/>
    </xf>
    <xf borderId="21" fillId="6" fontId="12" numFmtId="0" xfId="0" applyBorder="1" applyFill="1" applyFont="1"/>
    <xf borderId="20" fillId="6" fontId="5" numFmtId="0" xfId="0" applyBorder="1" applyFill="1" applyFont="1"/>
    <xf borderId="22" fillId="6" fontId="5" numFmtId="0" xfId="0" applyBorder="1" applyFill="1" applyFont="1"/>
    <xf borderId="39" fillId="0" fontId="5" numFmtId="0" xfId="0" applyBorder="1" applyFont="1"/>
    <xf borderId="0" fillId="11" fontId="8" numFmtId="0" xfId="0" applyAlignment="1" applyFill="1" applyFont="1">
      <alignment readingOrder="0" vertical="bottom"/>
    </xf>
    <xf borderId="40" fillId="0" fontId="5" numFmtId="0" xfId="0" applyBorder="1" applyFont="1"/>
    <xf borderId="41" fillId="0" fontId="5" numFmtId="0" xfId="0" applyBorder="1" applyFont="1"/>
    <xf borderId="0" fillId="0" fontId="5" numFmtId="10" xfId="0" applyFont="1" applyNumberFormat="1"/>
    <xf borderId="0" fillId="0" fontId="10" numFmtId="0" xfId="0" applyAlignment="1" applyFont="1">
      <alignment horizontal="center" readingOrder="0"/>
    </xf>
    <xf borderId="0" fillId="0" fontId="13" numFmtId="0" xfId="0" applyAlignment="1" applyFont="1">
      <alignment readingOrder="0"/>
    </xf>
    <xf borderId="42" fillId="0" fontId="8" numFmtId="0" xfId="0" applyAlignment="1" applyBorder="1" applyFont="1">
      <alignment vertical="bottom"/>
    </xf>
    <xf borderId="0" fillId="0" fontId="10" numFmtId="165" xfId="0" applyAlignment="1" applyFont="1" applyNumberFormat="1">
      <alignment horizontal="center" readingOrder="0"/>
    </xf>
    <xf borderId="0" fillId="0" fontId="11" numFmtId="0" xfId="0" applyAlignment="1" applyFont="1">
      <alignment horizontal="center" readingOrder="0"/>
    </xf>
    <xf borderId="0" fillId="0" fontId="11" numFmtId="165" xfId="0" applyAlignment="1" applyFont="1" applyNumberFormat="1">
      <alignment horizontal="center" readingOrder="0"/>
    </xf>
    <xf borderId="0" fillId="0" fontId="9" numFmtId="0" xfId="0" applyAlignment="1" applyFont="1">
      <alignment readingOrder="0"/>
    </xf>
    <xf borderId="0" fillId="0" fontId="10" numFmtId="10" xfId="0" applyAlignment="1" applyFont="1" applyNumberFormat="1">
      <alignment horizontal="center" readingOrder="0"/>
    </xf>
    <xf borderId="0" fillId="4" fontId="14" numFmtId="0" xfId="0" applyAlignment="1" applyFill="1" applyFont="1">
      <alignment horizontal="left"/>
    </xf>
    <xf borderId="20" fillId="0" fontId="5" numFmtId="2" xfId="0" applyBorder="1" applyFont="1" applyNumberFormat="1"/>
    <xf borderId="43" fillId="4" fontId="5" numFmtId="0" xfId="0" applyBorder="1" applyFill="1" applyFont="1"/>
    <xf borderId="44" fillId="4" fontId="5" numFmtId="0" xfId="0" applyBorder="1" applyFill="1" applyFont="1"/>
    <xf borderId="45" fillId="4" fontId="5" numFmtId="0" xfId="0" applyBorder="1" applyFill="1" applyFont="1"/>
    <xf borderId="46" fillId="4" fontId="5" numFmtId="0" xfId="0" applyBorder="1" applyFill="1" applyFont="1"/>
    <xf borderId="47" fillId="4" fontId="5" numFmtId="0" xfId="0" applyBorder="1" applyFill="1" applyFont="1"/>
    <xf borderId="46" fillId="0" fontId="5" numFmtId="0" xfId="0" applyBorder="1" applyFont="1"/>
    <xf borderId="44" fillId="0" fontId="5" numFmtId="0" xfId="0" applyBorder="1" applyFont="1"/>
    <xf borderId="47" fillId="0" fontId="5" numFmtId="0" xfId="0" applyBorder="1" applyFont="1"/>
    <xf borderId="20" fillId="4" fontId="5" numFmtId="0" xfId="0" applyBorder="1" applyFill="1" applyFont="1"/>
    <xf borderId="22" fillId="4" fontId="5" numFmtId="0" xfId="0" applyBorder="1" applyFill="1" applyFont="1"/>
    <xf borderId="0" fillId="0" fontId="5" numFmtId="0" xfId="0"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density g/cm3 vs % w/w at 20°C</a:t>
            </a:r>
          </a:p>
        </c:rich>
      </c:tx>
      <c:overlay val="0"/>
    </c:title>
    <c:plotArea>
      <c:layout/>
      <c:scatterChart>
        <c:scatterStyle val="lineMarker"/>
        <c:varyColors val="0"/>
        <c:ser>
          <c:idx val="0"/>
          <c:order val="0"/>
          <c:tx>
            <c:strRef>
              <c:f>'CaCl2 Solution'!$J$3</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1"/>
          </c:trendline>
          <c:xVal>
            <c:numRef>
              <c:f>'CaCl2 Solution'!$I$4:$I$11</c:f>
            </c:numRef>
          </c:xVal>
          <c:yVal>
            <c:numRef>
              <c:f>'CaCl2 Solution'!$J$4:$J$11</c:f>
              <c:numCache/>
            </c:numRef>
          </c:yVal>
        </c:ser>
        <c:dLbls>
          <c:showLegendKey val="0"/>
          <c:showVal val="0"/>
          <c:showCatName val="0"/>
          <c:showSerName val="0"/>
          <c:showPercent val="0"/>
          <c:showBubbleSize val="0"/>
        </c:dLbls>
        <c:axId val="287807676"/>
        <c:axId val="1607603631"/>
      </c:scatterChart>
      <c:valAx>
        <c:axId val="28780767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w/w</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07603631"/>
      </c:valAx>
      <c:valAx>
        <c:axId val="16076036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density g/cm3</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780767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density g/cm3 vs % w/w at 20°C</a:t>
            </a:r>
          </a:p>
        </c:rich>
      </c:tx>
      <c:overlay val="0"/>
    </c:title>
    <c:plotArea>
      <c:layout/>
      <c:scatterChart>
        <c:scatterStyle val="lineMarker"/>
        <c:varyColors val="0"/>
        <c:ser>
          <c:idx val="0"/>
          <c:order val="0"/>
          <c:tx>
            <c:strRef>
              <c:f>'Copy of CaCl2 Solution'!$J$3</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1"/>
          </c:trendline>
          <c:xVal>
            <c:numRef>
              <c:f>'Copy of CaCl2 Solution'!$I$4:$I$11</c:f>
            </c:numRef>
          </c:xVal>
          <c:yVal>
            <c:numRef>
              <c:f>'Copy of CaCl2 Solution'!$J$4:$J$11</c:f>
              <c:numCache/>
            </c:numRef>
          </c:yVal>
        </c:ser>
        <c:dLbls>
          <c:showLegendKey val="0"/>
          <c:showVal val="0"/>
          <c:showCatName val="0"/>
          <c:showSerName val="0"/>
          <c:showPercent val="0"/>
          <c:showBubbleSize val="0"/>
        </c:dLbls>
        <c:axId val="188880315"/>
        <c:axId val="259844519"/>
      </c:scatterChart>
      <c:valAx>
        <c:axId val="18888031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w/w</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9844519"/>
      </c:valAx>
      <c:valAx>
        <c:axId val="2598445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density g/cm3</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8880315"/>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152400</xdr:colOff>
      <xdr:row>12</xdr:row>
      <xdr:rowOff>19050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152400</xdr:colOff>
      <xdr:row>12</xdr:row>
      <xdr:rowOff>19050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8.75"/>
    <col customWidth="1" min="3" max="3" width="19.63"/>
    <col customWidth="1" min="4" max="4" width="18.5"/>
    <col customWidth="1" min="5" max="5" width="19.13"/>
    <col customWidth="1" min="6" max="6" width="16.0"/>
    <col customWidth="1" min="7" max="7" width="15.38"/>
    <col customWidth="1" min="9" max="9" width="18.75"/>
  </cols>
  <sheetData>
    <row r="1">
      <c r="A1" s="1" t="s">
        <v>1</v>
      </c>
      <c r="B1" s="2"/>
      <c r="C1" s="3"/>
      <c r="D1" s="6"/>
      <c r="E1" s="6"/>
      <c r="F1" s="9"/>
      <c r="G1" s="9"/>
      <c r="H1" s="9"/>
      <c r="I1" s="9"/>
      <c r="J1" s="6"/>
      <c r="K1" s="6"/>
      <c r="L1" s="6"/>
      <c r="M1" s="6"/>
      <c r="N1" s="6"/>
      <c r="O1" s="6"/>
      <c r="P1" s="6"/>
      <c r="Q1" s="6"/>
      <c r="R1" s="6"/>
      <c r="S1" s="6"/>
      <c r="T1" s="6"/>
      <c r="U1" s="6"/>
      <c r="V1" s="6"/>
      <c r="W1" s="6"/>
      <c r="X1" s="6"/>
    </row>
    <row r="2">
      <c r="A2" s="12" t="s">
        <v>8</v>
      </c>
      <c r="B2" s="15" t="s">
        <v>9</v>
      </c>
      <c r="C2" s="17"/>
      <c r="D2" s="6"/>
      <c r="E2" s="19"/>
      <c r="F2" s="21"/>
      <c r="G2" s="21"/>
      <c r="H2" s="21"/>
      <c r="I2" s="21"/>
      <c r="J2" s="23"/>
      <c r="K2" s="6"/>
      <c r="L2" s="6"/>
      <c r="M2" s="6"/>
      <c r="N2" s="6"/>
      <c r="O2" s="6"/>
      <c r="P2" s="6"/>
      <c r="Q2" s="6"/>
      <c r="R2" s="6"/>
      <c r="S2" s="6"/>
      <c r="T2" s="6"/>
      <c r="U2" s="6"/>
      <c r="V2" s="6"/>
      <c r="W2" s="6"/>
      <c r="X2" s="6"/>
    </row>
    <row r="3">
      <c r="A3" s="27" t="s">
        <v>13</v>
      </c>
      <c r="B3" s="28"/>
      <c r="C3" s="30"/>
      <c r="D3" s="32"/>
      <c r="E3" s="33"/>
      <c r="F3" s="34" t="s">
        <v>16</v>
      </c>
      <c r="G3" s="35"/>
      <c r="H3" s="35"/>
      <c r="I3" s="36"/>
      <c r="J3" s="37"/>
      <c r="K3" s="32"/>
      <c r="L3" s="32"/>
      <c r="M3" s="32"/>
      <c r="N3" s="32"/>
      <c r="O3" s="32"/>
      <c r="P3" s="32"/>
      <c r="Q3" s="32"/>
      <c r="R3" s="32"/>
      <c r="S3" s="32"/>
      <c r="T3" s="32"/>
      <c r="U3" s="32"/>
      <c r="V3" s="32"/>
      <c r="W3" s="32"/>
      <c r="X3" s="32"/>
    </row>
    <row r="4">
      <c r="A4" s="38"/>
      <c r="B4" s="39"/>
      <c r="C4" s="28"/>
      <c r="D4" s="28"/>
      <c r="E4" s="33"/>
      <c r="F4" s="40" t="s">
        <v>17</v>
      </c>
      <c r="G4" s="35"/>
      <c r="H4" s="35"/>
      <c r="I4" s="36"/>
      <c r="J4" s="37"/>
      <c r="K4" s="32"/>
      <c r="L4" s="32"/>
      <c r="M4" s="32"/>
      <c r="N4" s="32"/>
      <c r="O4" s="32"/>
      <c r="P4" s="32"/>
      <c r="Q4" s="32"/>
      <c r="R4" s="32"/>
      <c r="S4" s="32"/>
      <c r="T4" s="32"/>
      <c r="U4" s="32"/>
      <c r="V4" s="32"/>
      <c r="W4" s="32"/>
      <c r="X4" s="32"/>
    </row>
    <row r="5">
      <c r="A5" s="41" t="s">
        <v>18</v>
      </c>
      <c r="B5" s="42">
        <v>100.0</v>
      </c>
      <c r="C5" s="43" t="s">
        <v>19</v>
      </c>
      <c r="D5" s="44"/>
      <c r="E5" s="37"/>
      <c r="F5" s="6"/>
      <c r="G5" s="6"/>
      <c r="H5" s="6"/>
      <c r="I5" s="6"/>
      <c r="J5" s="32"/>
      <c r="K5" s="32"/>
      <c r="L5" s="32"/>
      <c r="M5" s="32"/>
      <c r="N5" s="32"/>
      <c r="O5" s="32"/>
      <c r="P5" s="32"/>
      <c r="Q5" s="32"/>
      <c r="R5" s="32"/>
      <c r="S5" s="32"/>
      <c r="T5" s="32"/>
      <c r="U5" s="32"/>
      <c r="V5" s="32"/>
      <c r="W5" s="32"/>
      <c r="X5" s="32"/>
    </row>
    <row r="6">
      <c r="A6" s="47" t="s">
        <v>20</v>
      </c>
      <c r="B6" s="42">
        <v>1000.0</v>
      </c>
      <c r="C6" s="50" t="s">
        <v>21</v>
      </c>
      <c r="D6" s="52"/>
      <c r="E6" s="37"/>
      <c r="F6" s="32"/>
      <c r="G6" s="32"/>
      <c r="H6" s="32"/>
      <c r="I6" s="32"/>
      <c r="J6" s="32"/>
      <c r="K6" s="32"/>
      <c r="L6" s="32"/>
      <c r="M6" s="32"/>
      <c r="N6" s="32"/>
      <c r="O6" s="32"/>
      <c r="P6" s="32"/>
      <c r="Q6" s="32"/>
      <c r="R6" s="32"/>
      <c r="S6" s="32"/>
      <c r="T6" s="32"/>
      <c r="U6" s="32"/>
      <c r="V6" s="32"/>
      <c r="W6" s="32"/>
      <c r="X6" s="32"/>
    </row>
    <row r="7">
      <c r="A7" s="55"/>
      <c r="B7" s="9"/>
      <c r="C7" s="6"/>
      <c r="D7" s="6"/>
      <c r="E7" s="32"/>
      <c r="F7" s="32"/>
      <c r="G7" s="32"/>
      <c r="H7" s="32"/>
      <c r="I7" s="32"/>
      <c r="J7" s="32"/>
      <c r="K7" s="32"/>
      <c r="L7" s="32"/>
      <c r="M7" s="32"/>
      <c r="N7" s="32"/>
      <c r="O7" s="32"/>
      <c r="P7" s="32"/>
      <c r="Q7" s="32"/>
      <c r="R7" s="32"/>
      <c r="S7" s="32"/>
      <c r="T7" s="32"/>
      <c r="U7" s="32"/>
      <c r="V7" s="32"/>
      <c r="W7" s="32"/>
      <c r="X7" s="32"/>
    </row>
    <row r="8">
      <c r="A8" s="58" t="s">
        <v>23</v>
      </c>
      <c r="B8" s="42">
        <v>100.0</v>
      </c>
      <c r="C8" s="37"/>
      <c r="D8" s="32"/>
      <c r="E8" s="32"/>
      <c r="F8" s="32"/>
      <c r="G8" s="32"/>
      <c r="H8" s="32"/>
      <c r="I8" s="32"/>
      <c r="J8" s="32"/>
      <c r="K8" s="32"/>
      <c r="L8" s="32"/>
      <c r="M8" s="32"/>
      <c r="N8" s="32"/>
      <c r="O8" s="32"/>
      <c r="P8" s="32"/>
      <c r="Q8" s="32"/>
      <c r="R8" s="32"/>
      <c r="S8" s="32"/>
      <c r="T8" s="32"/>
      <c r="U8" s="32"/>
      <c r="V8" s="32"/>
      <c r="W8" s="32"/>
      <c r="X8" s="32"/>
    </row>
    <row r="9">
      <c r="A9" s="55"/>
      <c r="B9" s="9"/>
      <c r="C9" s="28"/>
      <c r="D9" s="28"/>
      <c r="E9" s="28"/>
      <c r="F9" s="32"/>
      <c r="G9" s="32"/>
      <c r="H9" s="32"/>
      <c r="I9" s="32"/>
      <c r="J9" s="32"/>
      <c r="K9" s="32"/>
      <c r="L9" s="32"/>
      <c r="M9" s="32"/>
      <c r="N9" s="32"/>
      <c r="O9" s="32"/>
      <c r="P9" s="32"/>
      <c r="Q9" s="32"/>
      <c r="R9" s="32"/>
      <c r="S9" s="32"/>
      <c r="T9" s="32"/>
      <c r="U9" s="32"/>
      <c r="V9" s="32"/>
      <c r="W9" s="32"/>
      <c r="X9" s="32"/>
    </row>
    <row r="10">
      <c r="A10" s="41" t="s">
        <v>26</v>
      </c>
      <c r="B10" s="42">
        <v>100.0</v>
      </c>
      <c r="C10" s="43" t="s">
        <v>27</v>
      </c>
      <c r="D10" s="62"/>
      <c r="E10" s="44"/>
      <c r="F10" s="37"/>
      <c r="G10" s="32"/>
      <c r="H10" s="32"/>
      <c r="I10" s="32"/>
      <c r="J10" s="28"/>
      <c r="K10" s="28"/>
      <c r="L10" s="28"/>
      <c r="M10" s="28"/>
      <c r="N10" s="32"/>
      <c r="O10" s="32"/>
      <c r="P10" s="32"/>
      <c r="Q10" s="32"/>
      <c r="R10" s="32"/>
      <c r="S10" s="32"/>
      <c r="T10" s="32"/>
      <c r="U10" s="32"/>
      <c r="V10" s="32"/>
      <c r="W10" s="32"/>
      <c r="X10" s="32"/>
    </row>
    <row r="11">
      <c r="A11" s="47" t="s">
        <v>28</v>
      </c>
      <c r="B11" s="63">
        <v>3.5</v>
      </c>
      <c r="C11" s="50" t="s">
        <v>29</v>
      </c>
      <c r="D11" s="64"/>
      <c r="E11" s="52"/>
      <c r="F11" s="37"/>
      <c r="G11" s="32"/>
      <c r="H11" s="28"/>
      <c r="I11" s="39"/>
      <c r="J11" s="33"/>
      <c r="K11" s="65" t="s">
        <v>30</v>
      </c>
      <c r="L11" s="36"/>
      <c r="M11" s="42">
        <v>1000.0</v>
      </c>
      <c r="N11" s="66"/>
      <c r="O11" s="32"/>
      <c r="Q11" s="32"/>
      <c r="R11" s="32"/>
      <c r="S11" s="32"/>
      <c r="T11" s="32"/>
      <c r="U11" s="32"/>
      <c r="V11" s="32"/>
      <c r="W11" s="32"/>
      <c r="X11" s="32"/>
    </row>
    <row r="12">
      <c r="A12" s="65" t="s">
        <v>31</v>
      </c>
      <c r="B12" s="69">
        <f>B11/B10</f>
        <v>0.035</v>
      </c>
      <c r="C12" s="70"/>
      <c r="D12" s="6"/>
      <c r="E12" s="6"/>
      <c r="F12" s="32"/>
      <c r="G12" s="33"/>
      <c r="H12" s="65" t="s">
        <v>32</v>
      </c>
      <c r="I12" s="36"/>
      <c r="J12" s="71"/>
      <c r="K12" s="65" t="s">
        <v>33</v>
      </c>
      <c r="L12" s="35"/>
      <c r="M12" s="35"/>
      <c r="N12" s="36"/>
      <c r="O12" s="37"/>
      <c r="P12" s="71"/>
      <c r="Q12" s="32"/>
      <c r="R12" s="32"/>
      <c r="S12" s="32"/>
      <c r="T12" s="32"/>
      <c r="U12" s="32"/>
      <c r="V12" s="32"/>
      <c r="W12" s="32"/>
      <c r="X12" s="32"/>
    </row>
    <row r="13">
      <c r="A13" s="72"/>
      <c r="B13" s="73"/>
      <c r="C13" s="74"/>
      <c r="D13" s="28"/>
      <c r="E13" s="28"/>
      <c r="F13" s="28"/>
      <c r="G13" s="39"/>
      <c r="H13" s="75"/>
      <c r="I13" s="9"/>
      <c r="J13" s="71"/>
      <c r="K13" s="9"/>
      <c r="L13" s="9"/>
      <c r="M13" s="9"/>
      <c r="N13" s="9"/>
      <c r="O13" s="28"/>
      <c r="P13" s="71"/>
      <c r="Q13" s="32"/>
      <c r="R13" s="32"/>
      <c r="S13" s="32"/>
      <c r="T13" s="32"/>
      <c r="U13" s="32"/>
      <c r="V13" s="32"/>
      <c r="W13" s="32"/>
      <c r="X13" s="32"/>
    </row>
    <row r="14">
      <c r="A14" s="41" t="s">
        <v>36</v>
      </c>
      <c r="B14" s="76"/>
      <c r="C14" s="77" t="s">
        <v>37</v>
      </c>
      <c r="D14" s="78" t="s">
        <v>38</v>
      </c>
      <c r="E14" s="35"/>
      <c r="F14" s="35"/>
      <c r="G14" s="35"/>
      <c r="H14" s="79"/>
      <c r="I14" s="36"/>
      <c r="J14" s="71"/>
      <c r="K14" s="65" t="s">
        <v>39</v>
      </c>
      <c r="L14" s="65" t="s">
        <v>40</v>
      </c>
      <c r="M14" s="80" t="s">
        <v>41</v>
      </c>
      <c r="N14" s="80" t="s">
        <v>42</v>
      </c>
      <c r="O14" s="81" t="s">
        <v>43</v>
      </c>
      <c r="P14" s="71"/>
      <c r="Q14" s="32"/>
      <c r="R14" s="32"/>
      <c r="S14" s="32"/>
      <c r="T14" s="32"/>
      <c r="U14" s="32"/>
      <c r="V14" s="32"/>
      <c r="W14" s="32"/>
      <c r="X14" s="32"/>
    </row>
    <row r="15">
      <c r="A15" s="82" t="s">
        <v>44</v>
      </c>
      <c r="C15" s="83">
        <v>5.0</v>
      </c>
      <c r="D15" s="85" t="str">
        <f>"Dissolve "&amp;round(Salts!F18,3)&amp;"g of Calcium Chloride Dihydrate in "&amp;B5&amp;"g distilled H₂O"</f>
        <v>Dissolve 20.984g of Calcium Chloride Dihydrate in 100g distilled H₂O</v>
      </c>
      <c r="H15" s="93" t="str">
        <f>IF((round(Salts!$F18,3)/($B$5/100))&gt;=(Salts!$G18*0.8),"Careful, you're approaching the solubility 
limit of this mineral!","It's gonna be fine!")</f>
        <v>It's gonna be fine!</v>
      </c>
      <c r="I15" s="94"/>
      <c r="J15" s="71"/>
      <c r="K15" s="93">
        <f>round(($B$12*$C16)/$M$11,3)</f>
        <v>5</v>
      </c>
      <c r="L15" s="97">
        <f>round((0.25*$C16)/$M$11,1)</f>
        <v>35.7</v>
      </c>
      <c r="M15" s="97">
        <f>round((0.5*$C16)/$M$11,1)</f>
        <v>71.4</v>
      </c>
      <c r="N15" s="97">
        <f>round((0.75*$C16)/$M$11,1)</f>
        <v>107.1</v>
      </c>
      <c r="O15" s="98">
        <f>round((1*$C16)/$M$11,1)</f>
        <v>142.9</v>
      </c>
      <c r="P15" s="71"/>
      <c r="Q15" s="32"/>
      <c r="R15" s="32"/>
      <c r="S15" s="32"/>
      <c r="T15" s="32"/>
      <c r="U15" s="32"/>
      <c r="V15" s="32"/>
      <c r="W15" s="32"/>
      <c r="X15" s="32"/>
    </row>
    <row r="16">
      <c r="A16" s="11" t="s">
        <v>48</v>
      </c>
      <c r="B16" s="99"/>
      <c r="C16" s="100">
        <f>(($B$6/1000)*(C15))/($B$12/1000)</f>
        <v>142857.1429</v>
      </c>
      <c r="D16" s="85" t="str">
        <f>"Dissolve "&amp;round(Salts!F21,3)&amp;"g of Calcium Chloride Anhydrous ⚠️ in "&amp;B5&amp;"g distilled H₂O"</f>
        <v>Dissolve 15.841g of Calcium Chloride Anhydrous ⚠️ in 100g distilled H₂O</v>
      </c>
      <c r="H16" s="93" t="str">
        <f>IF((round(Salts!$F21,3)/($B$5/100))&gt;=(Salts!$G21*0.8),"Careful, you're approaching the solubility 
limit of this mineral!","It's gonna be fine!")</f>
        <v>It's gonna be fine!</v>
      </c>
      <c r="I16" s="98"/>
      <c r="J16" s="71"/>
      <c r="K16" s="70"/>
      <c r="L16" s="6"/>
      <c r="M16" s="6"/>
      <c r="N16" s="6"/>
      <c r="O16" s="101"/>
      <c r="P16" s="71"/>
      <c r="Q16" s="32"/>
      <c r="R16" s="32"/>
      <c r="S16" s="32"/>
      <c r="T16" s="32"/>
      <c r="U16" s="32"/>
      <c r="V16" s="32"/>
      <c r="W16" s="32"/>
      <c r="X16" s="32"/>
    </row>
    <row r="17">
      <c r="A17" s="55"/>
      <c r="B17" s="102"/>
      <c r="C17" s="103"/>
      <c r="D17" s="85" t="str">
        <f>"Dissolve "&amp;'CaCl2 Solution'!C19 &amp;"g of your "&amp;B8&amp;"% Calcium Chloride solution in "&amp;round(B5-'CaCl2 Solution'!C18,3)&amp;"g distilled H₂O"</f>
        <v>Dissolve 15.84g of your 100% Calcium Chloride solution in 92.08g distilled H₂O</v>
      </c>
      <c r="H17" s="105" t="s">
        <v>12</v>
      </c>
      <c r="I17" s="99"/>
      <c r="J17" s="71"/>
      <c r="K17" s="74"/>
      <c r="L17" s="28"/>
      <c r="M17" s="28"/>
      <c r="N17" s="28"/>
      <c r="O17" s="106"/>
      <c r="P17" s="71"/>
      <c r="Q17" s="32"/>
      <c r="R17" s="32"/>
      <c r="S17" s="32"/>
      <c r="T17" s="32"/>
      <c r="U17" s="32"/>
      <c r="V17" s="32"/>
      <c r="W17" s="32"/>
      <c r="X17" s="32"/>
    </row>
    <row r="18">
      <c r="A18" s="107"/>
      <c r="B18" s="108"/>
      <c r="C18" s="109"/>
      <c r="D18" s="110"/>
      <c r="E18" s="110"/>
      <c r="F18" s="110"/>
      <c r="G18" s="108"/>
      <c r="H18" s="109"/>
      <c r="I18" s="110"/>
      <c r="J18" s="71"/>
      <c r="K18" s="110"/>
      <c r="L18" s="110"/>
      <c r="M18" s="110"/>
      <c r="N18" s="110"/>
      <c r="O18" s="110"/>
      <c r="P18" s="71"/>
      <c r="Q18" s="32"/>
      <c r="R18" s="32"/>
      <c r="S18" s="32"/>
      <c r="T18" s="32"/>
      <c r="U18" s="32"/>
      <c r="V18" s="32"/>
      <c r="W18" s="32"/>
      <c r="X18" s="32"/>
    </row>
    <row r="19">
      <c r="A19" s="66"/>
      <c r="B19" s="39"/>
      <c r="C19" s="74"/>
      <c r="D19" s="28"/>
      <c r="E19" s="28"/>
      <c r="F19" s="28"/>
      <c r="G19" s="39"/>
      <c r="H19" s="74"/>
      <c r="I19" s="28"/>
      <c r="J19" s="71"/>
      <c r="K19" s="28"/>
      <c r="L19" s="28"/>
      <c r="M19" s="28"/>
      <c r="N19" s="28"/>
      <c r="O19" s="28"/>
      <c r="P19" s="71"/>
      <c r="Q19" s="32"/>
      <c r="R19" s="32"/>
      <c r="S19" s="32"/>
      <c r="T19" s="32"/>
      <c r="U19" s="32"/>
      <c r="V19" s="32"/>
      <c r="W19" s="32"/>
      <c r="X19" s="32"/>
    </row>
    <row r="20">
      <c r="A20" s="41" t="s">
        <v>36</v>
      </c>
      <c r="B20" s="76"/>
      <c r="C20" s="77" t="s">
        <v>54</v>
      </c>
      <c r="D20" s="78" t="s">
        <v>55</v>
      </c>
      <c r="E20" s="35"/>
      <c r="F20" s="35"/>
      <c r="G20" s="35"/>
      <c r="H20" s="79"/>
      <c r="I20" s="36"/>
      <c r="J20" s="71"/>
      <c r="K20" s="65" t="s">
        <v>39</v>
      </c>
      <c r="L20" s="65" t="s">
        <v>40</v>
      </c>
      <c r="M20" s="80" t="s">
        <v>41</v>
      </c>
      <c r="N20" s="80" t="s">
        <v>42</v>
      </c>
      <c r="O20" s="81" t="s">
        <v>43</v>
      </c>
      <c r="P20" s="71"/>
      <c r="Q20" s="32"/>
      <c r="R20" s="32"/>
      <c r="S20" s="32"/>
      <c r="T20" s="32"/>
      <c r="U20" s="32"/>
      <c r="V20" s="32"/>
      <c r="W20" s="32"/>
      <c r="X20" s="32"/>
    </row>
    <row r="21">
      <c r="A21" s="82" t="s">
        <v>44</v>
      </c>
      <c r="C21" s="42">
        <v>5.0</v>
      </c>
      <c r="D21" s="116" t="str">
        <f>"Dissolve "&amp;round(Salts!F12,3)&amp;"g of Magnesium Chloride Dihydrate in "&amp;B5&amp;"g distilled H₂O"</f>
        <v>Dissolve 18.733g of Magnesium Chloride Dihydrate in 100g distilled H₂O</v>
      </c>
      <c r="H21" s="93" t="str">
        <f>IF((round(Salts!$F12,3)/($B$5/100))&gt;=(Salts!$G12*0.8),"Careful, you're approaching the solubility 
limit of this mineral!","It's gonna be fine!")</f>
        <v>It's gonna be fine!</v>
      </c>
      <c r="I21" s="94"/>
      <c r="J21" s="71"/>
      <c r="K21" s="93">
        <f>round(($B$12*$C22)/$M$11,3)</f>
        <v>5</v>
      </c>
      <c r="L21" s="97">
        <f>round((0.25*$C22)/$M$11,1)</f>
        <v>35.7</v>
      </c>
      <c r="M21" s="97">
        <f>round((0.5*$C22)/$M$11,1)</f>
        <v>71.4</v>
      </c>
      <c r="N21" s="97">
        <f>round((0.75*$C22)/$M$11,1)</f>
        <v>107.1</v>
      </c>
      <c r="O21" s="98">
        <f>round((1*$C22)/$M$11,1)</f>
        <v>142.9</v>
      </c>
      <c r="P21" s="71"/>
      <c r="Q21" s="32"/>
      <c r="R21" s="32"/>
      <c r="S21" s="32"/>
      <c r="T21" s="32"/>
      <c r="U21" s="32"/>
      <c r="V21" s="32"/>
      <c r="W21" s="32"/>
      <c r="X21" s="32"/>
    </row>
    <row r="22">
      <c r="A22" s="82" t="s">
        <v>48</v>
      </c>
      <c r="C22" s="103">
        <f>(($B$6/1000)*(C21))/($B$12/1000)</f>
        <v>142857.1429</v>
      </c>
      <c r="D22" s="116" t="str">
        <f>"Dissolve "&amp;round(Salts!F13,3)&amp;"g of Magnesium Chloride Hexahydrate in "&amp;B5&amp;"g distilled H₂O"</f>
        <v>Dissolve 29.018g of Magnesium Chloride Hexahydrate in 100g distilled H₂O</v>
      </c>
      <c r="H22" s="93" t="str">
        <f>IF((round(Salts!$F13,3)/($B$5/100))&gt;=(Salts!$G13*0.8),"Careful, you're approaching the solubility 
limit of this mineral!","It's gonna be fine!")</f>
        <v>It's gonna be fine!</v>
      </c>
      <c r="I22" s="98"/>
      <c r="J22" s="71"/>
      <c r="K22" s="70"/>
      <c r="L22" s="6"/>
      <c r="M22" s="6"/>
      <c r="N22" s="6"/>
      <c r="O22" s="101"/>
      <c r="P22" s="71"/>
      <c r="Q22" s="32"/>
      <c r="R22" s="32"/>
      <c r="S22" s="32"/>
      <c r="T22" s="32"/>
      <c r="U22" s="32"/>
      <c r="V22" s="32"/>
      <c r="W22" s="32"/>
      <c r="X22" s="32"/>
    </row>
    <row r="23">
      <c r="A23" s="129"/>
      <c r="B23" s="130"/>
      <c r="C23" s="129"/>
      <c r="D23" s="132" t="str">
        <f>"Dissolve "&amp;round(Salts!F14,3)&amp;"g of Magnesium Chloride Anhydrous in "&amp;B5&amp;"g distilled H₂O"</f>
        <v>Dissolve 13.59g of Magnesium Chloride Anhydrous in 100g distilled H₂O</v>
      </c>
      <c r="E23" s="130"/>
      <c r="F23" s="130"/>
      <c r="G23" s="130"/>
      <c r="H23" s="133" t="str">
        <f>IF((round(Salts!$F14,3)/($B$5/100))&gt;=(Salts!$G14*0.8),"Careful, you're approaching the solubility 
limit of this mineral!","It's gonna be fine!")</f>
        <v>It's gonna be fine!</v>
      </c>
      <c r="I23" s="134"/>
      <c r="J23" s="71"/>
      <c r="K23" s="135"/>
      <c r="L23" s="137"/>
      <c r="M23" s="137"/>
      <c r="N23" s="137"/>
      <c r="O23" s="138"/>
      <c r="P23" s="71"/>
      <c r="Q23" s="32"/>
      <c r="R23" s="32"/>
      <c r="S23" s="32"/>
      <c r="T23" s="32"/>
      <c r="U23" s="32"/>
      <c r="V23" s="32"/>
      <c r="W23" s="32"/>
      <c r="X23" s="32"/>
    </row>
    <row r="24">
      <c r="A24" s="72"/>
      <c r="B24" s="73"/>
      <c r="C24" s="75"/>
      <c r="D24" s="9"/>
      <c r="E24" s="9"/>
      <c r="F24" s="9"/>
      <c r="G24" s="73"/>
      <c r="H24" s="75"/>
      <c r="I24" s="9"/>
      <c r="J24" s="71"/>
      <c r="K24" s="9"/>
      <c r="L24" s="9"/>
      <c r="M24" s="9"/>
      <c r="N24" s="9"/>
      <c r="O24" s="9"/>
      <c r="P24" s="71"/>
      <c r="Q24" s="32"/>
      <c r="R24" s="32"/>
      <c r="S24" s="32"/>
      <c r="T24" s="32"/>
      <c r="U24" s="32"/>
      <c r="V24" s="32"/>
      <c r="W24" s="32"/>
      <c r="X24" s="32"/>
    </row>
    <row r="25">
      <c r="A25" s="41" t="s">
        <v>36</v>
      </c>
      <c r="B25" s="76"/>
      <c r="C25" s="77" t="s">
        <v>70</v>
      </c>
      <c r="D25" s="78" t="s">
        <v>25</v>
      </c>
      <c r="E25" s="35"/>
      <c r="F25" s="35"/>
      <c r="G25" s="35"/>
      <c r="H25" s="79"/>
      <c r="I25" s="36"/>
      <c r="J25" s="71"/>
      <c r="K25" s="65" t="s">
        <v>39</v>
      </c>
      <c r="L25" s="65" t="s">
        <v>40</v>
      </c>
      <c r="M25" s="80" t="s">
        <v>41</v>
      </c>
      <c r="N25" s="80" t="s">
        <v>42</v>
      </c>
      <c r="O25" s="81" t="s">
        <v>43</v>
      </c>
      <c r="P25" s="71"/>
      <c r="Q25" s="32"/>
      <c r="R25" s="32"/>
      <c r="S25" s="32"/>
      <c r="T25" s="32"/>
      <c r="U25" s="32"/>
      <c r="V25" s="32"/>
      <c r="W25" s="32"/>
      <c r="X25" s="32"/>
    </row>
    <row r="26">
      <c r="A26" s="82" t="s">
        <v>44</v>
      </c>
      <c r="C26" s="42">
        <v>5.0</v>
      </c>
      <c r="D26" s="85" t="str">
        <f>"Dissolve "&amp;round(Salts!F7,3)&amp;"g of Sodium Bicarbonate (bicarb soda) in "&amp;B5&amp;"g distilled H₂O"</f>
        <v>Dissolve 23.981g of Sodium Bicarbonate (bicarb soda) in 100g distilled H₂O</v>
      </c>
      <c r="H26" s="93" t="str">
        <f>IF((round(Salts!$F7,3)/($B$5/100))&gt;=(Salts!$G7*0.9),"Careful, you're approaching the solubility 
limit of this mineral!","It's gonna be fine!")</f>
        <v>Careful, you're approaching the solubility 
limit of this mineral!</v>
      </c>
      <c r="I26" s="99"/>
      <c r="J26" s="71"/>
      <c r="K26" s="93">
        <f>round(($B$12*$C27)/$M$11,3)</f>
        <v>5</v>
      </c>
      <c r="L26" s="97">
        <f>round((0.25*$C27)/$M$11,1)</f>
        <v>35.7</v>
      </c>
      <c r="M26" s="97">
        <f>round((0.5*$C27)/$M$11,1)</f>
        <v>71.4</v>
      </c>
      <c r="N26" s="97">
        <f>round((0.75*$C27)/$M$11,1)</f>
        <v>107.1</v>
      </c>
      <c r="O26" s="98">
        <f>round((1*$C27)/$M$11,1)</f>
        <v>142.9</v>
      </c>
      <c r="P26" s="71"/>
      <c r="Q26" s="32"/>
      <c r="R26" s="32"/>
      <c r="S26" s="32"/>
      <c r="T26" s="32"/>
      <c r="U26" s="32"/>
      <c r="V26" s="32"/>
      <c r="W26" s="32"/>
      <c r="X26" s="32"/>
    </row>
    <row r="27">
      <c r="A27" s="47" t="s">
        <v>48</v>
      </c>
      <c r="B27" s="130"/>
      <c r="C27" s="149">
        <f>(($B$6/1000)*(C26))/($B$12/1000)</f>
        <v>142857.1429</v>
      </c>
      <c r="D27" s="150"/>
      <c r="E27" s="151"/>
      <c r="F27" s="151"/>
      <c r="G27" s="152"/>
      <c r="H27" s="153"/>
      <c r="I27" s="154"/>
      <c r="J27" s="71"/>
      <c r="K27" s="155"/>
      <c r="L27" s="156"/>
      <c r="M27" s="156"/>
      <c r="N27" s="156"/>
      <c r="O27" s="157"/>
      <c r="P27" s="71"/>
      <c r="Q27" s="32"/>
      <c r="R27" s="32"/>
      <c r="S27" s="32"/>
      <c r="T27" s="32"/>
      <c r="U27" s="32"/>
      <c r="V27" s="32"/>
      <c r="W27" s="32"/>
      <c r="X27" s="32"/>
    </row>
    <row r="28">
      <c r="A28" s="23"/>
      <c r="B28" s="19"/>
      <c r="C28" s="70"/>
      <c r="D28" s="6"/>
      <c r="E28" s="6"/>
      <c r="F28" s="6"/>
      <c r="G28" s="19"/>
      <c r="H28" s="70"/>
      <c r="I28" s="6"/>
      <c r="J28" s="71"/>
      <c r="K28" s="6"/>
      <c r="L28" s="6"/>
      <c r="M28" s="6"/>
      <c r="N28" s="6"/>
      <c r="O28" s="6"/>
      <c r="P28" s="71"/>
      <c r="Q28" s="32"/>
      <c r="R28" s="32"/>
      <c r="S28" s="32"/>
      <c r="T28" s="32"/>
      <c r="U28" s="32"/>
      <c r="V28" s="32"/>
      <c r="W28" s="32"/>
      <c r="X28" s="32"/>
    </row>
    <row r="29">
      <c r="A29" s="66"/>
      <c r="B29" s="39"/>
      <c r="C29" s="74"/>
      <c r="D29" s="28"/>
      <c r="E29" s="28"/>
      <c r="F29" s="28"/>
      <c r="G29" s="39"/>
      <c r="H29" s="74"/>
      <c r="I29" s="28"/>
      <c r="J29" s="71"/>
      <c r="K29" s="28"/>
      <c r="L29" s="28"/>
      <c r="M29" s="28"/>
      <c r="N29" s="28"/>
      <c r="O29" s="28"/>
      <c r="P29" s="71"/>
      <c r="Q29" s="32"/>
      <c r="R29" s="32"/>
      <c r="S29" s="32"/>
      <c r="T29" s="32"/>
      <c r="U29" s="32"/>
      <c r="V29" s="32"/>
      <c r="W29" s="32"/>
      <c r="X29" s="32"/>
    </row>
    <row r="30">
      <c r="A30" s="41" t="s">
        <v>36</v>
      </c>
      <c r="B30" s="76"/>
      <c r="C30" s="77" t="s">
        <v>34</v>
      </c>
      <c r="D30" s="78" t="s">
        <v>35</v>
      </c>
      <c r="E30" s="35"/>
      <c r="F30" s="35"/>
      <c r="G30" s="35"/>
      <c r="H30" s="79"/>
      <c r="I30" s="36"/>
      <c r="J30" s="71"/>
      <c r="K30" s="65" t="s">
        <v>39</v>
      </c>
      <c r="L30" s="65" t="s">
        <v>40</v>
      </c>
      <c r="M30" s="80" t="s">
        <v>41</v>
      </c>
      <c r="N30" s="80" t="s">
        <v>42</v>
      </c>
      <c r="O30" s="81" t="s">
        <v>43</v>
      </c>
      <c r="P30" s="71"/>
      <c r="Q30" s="32"/>
      <c r="R30" s="32"/>
      <c r="S30" s="32"/>
      <c r="T30" s="32"/>
      <c r="U30" s="32"/>
      <c r="V30" s="32"/>
      <c r="W30" s="32"/>
      <c r="X30" s="32"/>
    </row>
    <row r="31">
      <c r="A31" s="82" t="s">
        <v>44</v>
      </c>
      <c r="C31" s="42">
        <v>5.0</v>
      </c>
      <c r="D31" s="85" t="str">
        <f>"Dissolve "&amp;round(Salts!F8,3)&amp;"g of Potassium Bicarbonate in "&amp;concentratesVOL&amp;"g distilled H₂O"</f>
        <v>Dissolve 28.579g of Potassium Bicarbonate in 100g distilled H₂O</v>
      </c>
      <c r="H31" s="93" t="str">
        <f>IF((round(Salts!$F8,3)/($B$5/100))&gt;=(Salts!$G8*0.8),"Careful, you're approaching the solubility 
limit of this mineral!","It's gonna be fine!")</f>
        <v>Careful, you're approaching the solubility 
limit of this mineral!</v>
      </c>
      <c r="I31" s="94"/>
      <c r="J31" s="71"/>
      <c r="K31" s="93">
        <f>round(($B$12*$C32)/$M$11,3)</f>
        <v>5</v>
      </c>
      <c r="L31" s="97">
        <f>round((0.25*$C32)/$M$11,1)</f>
        <v>35.7</v>
      </c>
      <c r="M31" s="97">
        <f>round((0.5*$C32)/$M$11,1)</f>
        <v>71.4</v>
      </c>
      <c r="N31" s="97">
        <f>round((0.75*$C32)/$M$11,1)</f>
        <v>107.1</v>
      </c>
      <c r="O31" s="98">
        <f>round((1*$C32)/$M$11,1)</f>
        <v>142.9</v>
      </c>
      <c r="P31" s="71"/>
      <c r="Q31" s="32"/>
      <c r="R31" s="32"/>
      <c r="S31" s="32"/>
      <c r="T31" s="32"/>
      <c r="U31" s="32"/>
      <c r="V31" s="32"/>
      <c r="W31" s="32"/>
      <c r="X31" s="32"/>
    </row>
    <row r="32">
      <c r="A32" s="47" t="s">
        <v>48</v>
      </c>
      <c r="B32" s="130"/>
      <c r="C32" s="149">
        <f>(($B$6/1000)*(C31))/($B$12/1000)</f>
        <v>142857.1429</v>
      </c>
      <c r="D32" s="150"/>
      <c r="E32" s="151"/>
      <c r="F32" s="151"/>
      <c r="G32" s="152"/>
      <c r="H32" s="153"/>
      <c r="I32" s="154"/>
      <c r="J32" s="71"/>
      <c r="K32" s="155"/>
      <c r="L32" s="156"/>
      <c r="M32" s="156"/>
      <c r="N32" s="156"/>
      <c r="O32" s="157"/>
      <c r="P32" s="71"/>
      <c r="Q32" s="32"/>
      <c r="R32" s="32"/>
      <c r="S32" s="32"/>
      <c r="T32" s="32"/>
      <c r="U32" s="32"/>
      <c r="V32" s="32"/>
      <c r="W32" s="32"/>
      <c r="X32" s="32"/>
    </row>
    <row r="33">
      <c r="A33" s="23"/>
      <c r="B33" s="19"/>
      <c r="C33" s="70"/>
      <c r="D33" s="6"/>
      <c r="E33" s="6"/>
      <c r="F33" s="6"/>
      <c r="G33" s="19"/>
      <c r="H33" s="70"/>
      <c r="I33" s="6"/>
      <c r="J33" s="71"/>
      <c r="K33" s="6"/>
      <c r="L33" s="6"/>
      <c r="M33" s="6"/>
      <c r="N33" s="6"/>
      <c r="O33" s="6"/>
      <c r="P33" s="71"/>
      <c r="Q33" s="32"/>
      <c r="R33" s="32"/>
      <c r="S33" s="32"/>
      <c r="T33" s="32"/>
      <c r="U33" s="32"/>
      <c r="V33" s="32"/>
      <c r="W33" s="32"/>
      <c r="X33" s="32"/>
    </row>
    <row r="34">
      <c r="A34" s="66"/>
      <c r="B34" s="39"/>
      <c r="C34" s="74"/>
      <c r="D34" s="28"/>
      <c r="E34" s="28"/>
      <c r="F34" s="28"/>
      <c r="G34" s="39"/>
      <c r="H34" s="74"/>
      <c r="I34" s="28"/>
      <c r="J34" s="71"/>
      <c r="K34" s="28"/>
      <c r="L34" s="28"/>
      <c r="M34" s="28"/>
      <c r="N34" s="28"/>
      <c r="O34" s="28"/>
      <c r="P34" s="71"/>
      <c r="Q34" s="32"/>
      <c r="R34" s="32"/>
      <c r="S34" s="32"/>
      <c r="T34" s="32"/>
      <c r="U34" s="32"/>
      <c r="V34" s="32"/>
      <c r="W34" s="32"/>
      <c r="X34" s="32"/>
    </row>
    <row r="35">
      <c r="A35" s="41" t="s">
        <v>36</v>
      </c>
      <c r="B35" s="76"/>
      <c r="C35" s="77" t="s">
        <v>71</v>
      </c>
      <c r="D35" s="78" t="s">
        <v>57</v>
      </c>
      <c r="E35" s="35"/>
      <c r="F35" s="35"/>
      <c r="G35" s="35"/>
      <c r="H35" s="79"/>
      <c r="I35" s="36"/>
      <c r="J35" s="71"/>
      <c r="K35" s="65" t="s">
        <v>39</v>
      </c>
      <c r="L35" s="65" t="s">
        <v>40</v>
      </c>
      <c r="M35" s="80" t="s">
        <v>41</v>
      </c>
      <c r="N35" s="80" t="s">
        <v>42</v>
      </c>
      <c r="O35" s="81" t="s">
        <v>43</v>
      </c>
      <c r="P35" s="71"/>
      <c r="Q35" s="32"/>
      <c r="R35" s="32"/>
      <c r="S35" s="32"/>
      <c r="T35" s="32"/>
      <c r="U35" s="32"/>
      <c r="V35" s="32"/>
      <c r="W35" s="32"/>
      <c r="X35" s="32"/>
    </row>
    <row r="36">
      <c r="A36" s="82" t="s">
        <v>44</v>
      </c>
      <c r="C36" s="42">
        <v>5.0</v>
      </c>
      <c r="D36" s="85" t="str">
        <f>"Dissolve "&amp;round(Salts!F11,3)&amp;"g of Magnesium Sulfate Heptahydrate (Epsom) in "&amp;concentratesVOL&amp;"g distilled H₂O"</f>
        <v>Dissolve 35.179g of Magnesium Sulfate Heptahydrate (Epsom) in 100g distilled H₂O</v>
      </c>
      <c r="H36" s="93" t="str">
        <f>IF((round(Salts!$F11,3)/($B$5/100))&gt;=(Salts!$G11*0.8),"Careful, you're approaching the solubility 
limit of this mineral!","It's gonna be fine!")</f>
        <v>It's gonna be fine!</v>
      </c>
      <c r="I36" s="94"/>
      <c r="J36" s="71"/>
      <c r="K36" s="93">
        <f>round(($B$12*$C37)/$M$11,3)</f>
        <v>5</v>
      </c>
      <c r="L36" s="97">
        <f>round((0.25*$C37)/$M$11,1)</f>
        <v>35.7</v>
      </c>
      <c r="M36" s="97">
        <f>round((0.5*$C37)/$M$11,1)</f>
        <v>71.4</v>
      </c>
      <c r="N36" s="97">
        <f>round((0.75*$C37)/$M$11,1)</f>
        <v>107.1</v>
      </c>
      <c r="O36" s="98">
        <f>round((1*$C37)/$M$11,1)</f>
        <v>142.9</v>
      </c>
      <c r="P36" s="71"/>
      <c r="Q36" s="32"/>
      <c r="R36" s="32"/>
      <c r="S36" s="32"/>
      <c r="T36" s="32"/>
      <c r="U36" s="32"/>
      <c r="V36" s="32"/>
      <c r="W36" s="32"/>
      <c r="X36" s="32"/>
    </row>
    <row r="37">
      <c r="A37" s="47" t="s">
        <v>48</v>
      </c>
      <c r="B37" s="130"/>
      <c r="C37" s="149">
        <f>(($B$6/1000)*(C36))/($B$12/1000)</f>
        <v>142857.1429</v>
      </c>
      <c r="D37" s="150"/>
      <c r="E37" s="151"/>
      <c r="F37" s="151"/>
      <c r="G37" s="152"/>
      <c r="H37" s="158"/>
      <c r="I37" s="159"/>
      <c r="J37" s="38"/>
      <c r="K37" s="155"/>
      <c r="L37" s="156"/>
      <c r="M37" s="156"/>
      <c r="N37" s="156"/>
      <c r="O37" s="157"/>
      <c r="Q37" s="32"/>
      <c r="R37" s="32"/>
      <c r="S37" s="32"/>
      <c r="T37" s="32"/>
      <c r="U37" s="32"/>
      <c r="V37" s="32"/>
      <c r="W37" s="32"/>
      <c r="X37" s="32"/>
    </row>
    <row r="38">
      <c r="A38" s="23"/>
      <c r="B38" s="6"/>
      <c r="C38" s="6"/>
      <c r="D38" s="6"/>
      <c r="E38" s="6"/>
      <c r="F38" s="6"/>
      <c r="G38" s="6"/>
      <c r="H38" s="6"/>
      <c r="I38" s="6"/>
      <c r="J38" s="6"/>
      <c r="K38" s="6"/>
      <c r="L38" s="6"/>
      <c r="M38" s="6"/>
      <c r="N38" s="6"/>
      <c r="O38" s="32"/>
      <c r="P38" s="32"/>
      <c r="Q38" s="32"/>
      <c r="R38" s="32"/>
      <c r="S38" s="32"/>
      <c r="T38" s="32"/>
      <c r="U38" s="32"/>
      <c r="V38" s="32"/>
      <c r="W38" s="32"/>
      <c r="X38" s="32"/>
    </row>
    <row r="39">
      <c r="A39" s="37"/>
      <c r="B39" s="32"/>
      <c r="C39" s="32"/>
      <c r="D39" s="32"/>
      <c r="E39" s="32"/>
      <c r="F39" s="32"/>
      <c r="G39" s="32"/>
      <c r="H39" s="32"/>
      <c r="I39" s="32"/>
      <c r="J39" s="32"/>
      <c r="K39" s="32"/>
      <c r="L39" s="32"/>
      <c r="M39" s="32"/>
      <c r="N39" s="32"/>
      <c r="O39" s="32"/>
      <c r="P39" s="32"/>
      <c r="Q39" s="32"/>
      <c r="R39" s="32"/>
      <c r="S39" s="32"/>
      <c r="T39" s="32"/>
      <c r="U39" s="32"/>
      <c r="V39" s="32"/>
      <c r="W39" s="32"/>
      <c r="X39" s="33"/>
    </row>
    <row r="40">
      <c r="A40" s="37"/>
      <c r="B40" s="32"/>
      <c r="C40" s="32"/>
      <c r="D40" s="32"/>
      <c r="E40" s="32"/>
      <c r="F40" s="32"/>
      <c r="G40" s="32"/>
      <c r="H40" s="32"/>
      <c r="I40" s="32"/>
      <c r="J40" s="32"/>
      <c r="K40" s="32"/>
      <c r="L40" s="32"/>
      <c r="M40" s="32"/>
      <c r="N40" s="32"/>
      <c r="O40" s="32"/>
      <c r="P40" s="32"/>
      <c r="Q40" s="32"/>
      <c r="R40" s="32"/>
      <c r="S40" s="32"/>
      <c r="T40" s="32"/>
      <c r="U40" s="32"/>
      <c r="V40" s="32"/>
      <c r="W40" s="32"/>
      <c r="X40" s="33"/>
    </row>
    <row r="41">
      <c r="A41" s="37"/>
      <c r="B41" s="32"/>
      <c r="C41" s="32"/>
      <c r="D41" s="32"/>
      <c r="E41" s="32"/>
      <c r="F41" s="32"/>
      <c r="G41" s="32"/>
      <c r="H41" s="32"/>
      <c r="I41" s="32"/>
      <c r="J41" s="32"/>
      <c r="K41" s="32"/>
      <c r="L41" s="32"/>
      <c r="M41" s="32"/>
      <c r="N41" s="32"/>
      <c r="O41" s="32"/>
      <c r="P41" s="32"/>
      <c r="Q41" s="32"/>
      <c r="R41" s="32"/>
      <c r="S41" s="32"/>
      <c r="T41" s="32"/>
      <c r="U41" s="32"/>
      <c r="V41" s="32"/>
      <c r="W41" s="32"/>
      <c r="X41" s="33"/>
    </row>
    <row r="42">
      <c r="A42" s="37"/>
      <c r="B42" s="32"/>
      <c r="C42" s="32"/>
      <c r="D42" s="32"/>
      <c r="E42" s="32"/>
      <c r="F42" s="32"/>
      <c r="G42" s="32"/>
      <c r="H42" s="32"/>
      <c r="I42" s="32"/>
      <c r="J42" s="32"/>
      <c r="K42" s="32"/>
      <c r="L42" s="32"/>
      <c r="M42" s="32"/>
      <c r="N42" s="32"/>
      <c r="O42" s="32"/>
      <c r="P42" s="32"/>
      <c r="Q42" s="32"/>
      <c r="R42" s="32"/>
      <c r="S42" s="32"/>
      <c r="T42" s="32"/>
      <c r="U42" s="32"/>
      <c r="V42" s="32"/>
      <c r="W42" s="32"/>
      <c r="X42" s="33"/>
    </row>
    <row r="43">
      <c r="A43" s="37"/>
      <c r="B43" s="32"/>
      <c r="C43" s="32"/>
      <c r="D43" s="32"/>
      <c r="E43" s="32"/>
      <c r="F43" s="32"/>
      <c r="G43" s="32"/>
      <c r="H43" s="32"/>
      <c r="I43" s="32"/>
      <c r="J43" s="32"/>
      <c r="K43" s="32"/>
      <c r="L43" s="32"/>
      <c r="M43" s="32"/>
      <c r="N43" s="32"/>
      <c r="O43" s="32"/>
      <c r="P43" s="32"/>
      <c r="Q43" s="32"/>
      <c r="R43" s="32"/>
      <c r="S43" s="32"/>
      <c r="T43" s="32"/>
      <c r="U43" s="32"/>
      <c r="V43" s="32"/>
      <c r="W43" s="32"/>
      <c r="X43" s="33"/>
    </row>
    <row r="44">
      <c r="A44" s="37"/>
      <c r="B44" s="32"/>
      <c r="C44" s="32"/>
      <c r="D44" s="32"/>
      <c r="E44" s="32"/>
      <c r="F44" s="32"/>
      <c r="G44" s="32"/>
      <c r="H44" s="32"/>
      <c r="I44" s="32"/>
      <c r="J44" s="32"/>
      <c r="K44" s="32"/>
      <c r="L44" s="32"/>
      <c r="M44" s="32"/>
      <c r="N44" s="32"/>
      <c r="O44" s="32"/>
      <c r="P44" s="32"/>
      <c r="Q44" s="32"/>
      <c r="R44" s="32"/>
      <c r="S44" s="32"/>
      <c r="T44" s="32"/>
      <c r="U44" s="32"/>
      <c r="V44" s="32"/>
      <c r="W44" s="32"/>
      <c r="X44" s="33"/>
    </row>
    <row r="45">
      <c r="A45" s="37"/>
      <c r="B45" s="32"/>
      <c r="C45" s="32"/>
      <c r="D45" s="32"/>
      <c r="E45" s="32"/>
      <c r="F45" s="32"/>
      <c r="G45" s="32"/>
      <c r="H45" s="32"/>
      <c r="I45" s="32"/>
      <c r="J45" s="32"/>
      <c r="K45" s="32"/>
      <c r="L45" s="32"/>
      <c r="M45" s="32"/>
      <c r="N45" s="32"/>
      <c r="O45" s="32"/>
      <c r="P45" s="32"/>
      <c r="Q45" s="32"/>
      <c r="R45" s="32"/>
      <c r="S45" s="32"/>
      <c r="T45" s="32"/>
      <c r="U45" s="32"/>
      <c r="V45" s="32"/>
      <c r="W45" s="32"/>
      <c r="X45" s="33"/>
    </row>
    <row r="46">
      <c r="A46" s="37"/>
      <c r="B46" s="32"/>
      <c r="C46" s="32"/>
      <c r="D46" s="32"/>
      <c r="E46" s="32"/>
      <c r="F46" s="32"/>
      <c r="G46" s="32"/>
      <c r="H46" s="32"/>
      <c r="I46" s="32"/>
      <c r="J46" s="32"/>
      <c r="K46" s="32"/>
      <c r="L46" s="32"/>
      <c r="M46" s="32"/>
      <c r="N46" s="32"/>
      <c r="O46" s="32"/>
      <c r="P46" s="32"/>
      <c r="Q46" s="32"/>
      <c r="R46" s="32"/>
      <c r="S46" s="32"/>
      <c r="T46" s="32"/>
      <c r="U46" s="32"/>
      <c r="V46" s="32"/>
      <c r="W46" s="32"/>
      <c r="X46" s="33"/>
    </row>
    <row r="47">
      <c r="A47" s="37"/>
      <c r="B47" s="32"/>
      <c r="C47" s="32"/>
      <c r="D47" s="32"/>
      <c r="E47" s="32"/>
      <c r="F47" s="32"/>
      <c r="G47" s="32"/>
      <c r="H47" s="32"/>
      <c r="I47" s="32"/>
      <c r="J47" s="32"/>
      <c r="K47" s="32"/>
      <c r="L47" s="32"/>
      <c r="M47" s="32"/>
      <c r="N47" s="32"/>
      <c r="O47" s="32"/>
      <c r="P47" s="32"/>
      <c r="Q47" s="32"/>
      <c r="R47" s="32"/>
      <c r="S47" s="32"/>
      <c r="T47" s="32"/>
      <c r="U47" s="32"/>
      <c r="V47" s="32"/>
      <c r="W47" s="32"/>
      <c r="X47" s="33"/>
    </row>
    <row r="48">
      <c r="A48" s="37"/>
      <c r="B48" s="32"/>
      <c r="C48" s="32"/>
      <c r="D48" s="32"/>
      <c r="E48" s="32"/>
      <c r="F48" s="32"/>
      <c r="G48" s="32"/>
      <c r="H48" s="32"/>
      <c r="I48" s="32"/>
      <c r="J48" s="32"/>
      <c r="K48" s="32"/>
      <c r="L48" s="32"/>
      <c r="M48" s="32"/>
      <c r="N48" s="32"/>
      <c r="O48" s="32"/>
      <c r="P48" s="32"/>
      <c r="Q48" s="32"/>
      <c r="R48" s="32"/>
      <c r="S48" s="32"/>
      <c r="T48" s="32"/>
      <c r="U48" s="32"/>
      <c r="V48" s="32"/>
      <c r="W48" s="32"/>
      <c r="X48" s="33"/>
    </row>
    <row r="49">
      <c r="A49" s="37"/>
      <c r="B49" s="32"/>
      <c r="C49" s="32"/>
      <c r="D49" s="32"/>
      <c r="E49" s="32"/>
      <c r="F49" s="32"/>
      <c r="G49" s="32"/>
      <c r="H49" s="32"/>
      <c r="I49" s="32"/>
      <c r="J49" s="32"/>
      <c r="K49" s="32"/>
      <c r="L49" s="32"/>
      <c r="M49" s="32"/>
      <c r="N49" s="32"/>
      <c r="O49" s="32"/>
      <c r="P49" s="32"/>
      <c r="Q49" s="32"/>
      <c r="R49" s="32"/>
      <c r="S49" s="32"/>
      <c r="T49" s="32"/>
      <c r="U49" s="32"/>
      <c r="V49" s="32"/>
      <c r="W49" s="32"/>
      <c r="X49" s="33"/>
    </row>
    <row r="50">
      <c r="A50" s="37"/>
      <c r="B50" s="32"/>
      <c r="C50" s="32"/>
      <c r="D50" s="32"/>
      <c r="E50" s="32"/>
      <c r="F50" s="32"/>
      <c r="G50" s="32"/>
      <c r="H50" s="32"/>
      <c r="I50" s="32"/>
      <c r="J50" s="32"/>
      <c r="K50" s="32"/>
      <c r="L50" s="32"/>
      <c r="M50" s="32"/>
      <c r="N50" s="32"/>
      <c r="O50" s="32"/>
      <c r="P50" s="32"/>
      <c r="Q50" s="32"/>
      <c r="R50" s="32"/>
      <c r="S50" s="32"/>
      <c r="T50" s="32"/>
      <c r="U50" s="32"/>
      <c r="V50" s="32"/>
      <c r="W50" s="32"/>
      <c r="X50" s="33"/>
    </row>
    <row r="51">
      <c r="A51" s="37"/>
      <c r="B51" s="32"/>
      <c r="C51" s="32"/>
      <c r="D51" s="32"/>
      <c r="E51" s="32"/>
      <c r="F51" s="32"/>
      <c r="G51" s="32"/>
      <c r="H51" s="32"/>
      <c r="I51" s="32"/>
      <c r="J51" s="32"/>
      <c r="K51" s="32"/>
      <c r="L51" s="32"/>
      <c r="M51" s="32"/>
      <c r="N51" s="32"/>
      <c r="O51" s="32"/>
      <c r="P51" s="32"/>
      <c r="Q51" s="32"/>
      <c r="R51" s="32"/>
      <c r="S51" s="32"/>
      <c r="T51" s="32"/>
      <c r="U51" s="32"/>
      <c r="V51" s="32"/>
      <c r="W51" s="32"/>
      <c r="X51" s="33"/>
    </row>
    <row r="52">
      <c r="A52" s="37"/>
      <c r="B52" s="32"/>
      <c r="C52" s="32"/>
      <c r="D52" s="32"/>
      <c r="E52" s="32"/>
      <c r="F52" s="32"/>
      <c r="G52" s="32"/>
      <c r="H52" s="32"/>
      <c r="I52" s="32"/>
      <c r="J52" s="32"/>
      <c r="K52" s="32"/>
      <c r="L52" s="32"/>
      <c r="M52" s="32"/>
      <c r="N52" s="32"/>
      <c r="O52" s="32"/>
      <c r="P52" s="32"/>
      <c r="Q52" s="32"/>
      <c r="R52" s="32"/>
      <c r="S52" s="32"/>
      <c r="T52" s="32"/>
      <c r="U52" s="32"/>
      <c r="V52" s="32"/>
      <c r="W52" s="32"/>
      <c r="X52" s="33"/>
    </row>
    <row r="53">
      <c r="A53" s="37"/>
      <c r="B53" s="32"/>
      <c r="C53" s="32"/>
      <c r="D53" s="32"/>
      <c r="E53" s="32"/>
      <c r="F53" s="32"/>
      <c r="G53" s="32"/>
      <c r="H53" s="32"/>
      <c r="I53" s="32"/>
      <c r="J53" s="32"/>
      <c r="K53" s="32"/>
      <c r="L53" s="32"/>
      <c r="M53" s="32"/>
      <c r="N53" s="32"/>
      <c r="O53" s="32"/>
      <c r="P53" s="32"/>
      <c r="Q53" s="32"/>
      <c r="R53" s="32"/>
      <c r="S53" s="32"/>
      <c r="T53" s="32"/>
      <c r="U53" s="32"/>
      <c r="V53" s="32"/>
      <c r="W53" s="32"/>
      <c r="X53" s="33"/>
    </row>
    <row r="54">
      <c r="A54" s="37"/>
      <c r="B54" s="32"/>
      <c r="C54" s="32"/>
      <c r="D54" s="32"/>
      <c r="E54" s="32"/>
      <c r="F54" s="32"/>
      <c r="G54" s="32"/>
      <c r="H54" s="32"/>
      <c r="I54" s="32"/>
      <c r="J54" s="32"/>
      <c r="K54" s="32"/>
      <c r="L54" s="32"/>
      <c r="M54" s="32"/>
      <c r="N54" s="32"/>
      <c r="O54" s="32"/>
      <c r="P54" s="32"/>
      <c r="Q54" s="32"/>
      <c r="R54" s="32"/>
      <c r="S54" s="32"/>
      <c r="T54" s="32"/>
      <c r="U54" s="32"/>
      <c r="V54" s="32"/>
      <c r="W54" s="32"/>
      <c r="X54" s="33"/>
    </row>
    <row r="55">
      <c r="A55" s="37"/>
      <c r="B55" s="32"/>
      <c r="C55" s="32"/>
      <c r="D55" s="32"/>
      <c r="E55" s="32"/>
      <c r="F55" s="32"/>
      <c r="G55" s="32"/>
      <c r="H55" s="32"/>
      <c r="I55" s="32"/>
      <c r="J55" s="32"/>
      <c r="K55" s="32"/>
      <c r="L55" s="32"/>
      <c r="M55" s="32"/>
      <c r="N55" s="32"/>
      <c r="O55" s="32"/>
      <c r="P55" s="32"/>
      <c r="Q55" s="32"/>
      <c r="R55" s="32"/>
      <c r="S55" s="32"/>
      <c r="T55" s="32"/>
      <c r="U55" s="32"/>
      <c r="V55" s="32"/>
      <c r="W55" s="32"/>
      <c r="X55" s="33"/>
    </row>
    <row r="56">
      <c r="A56" s="37"/>
      <c r="B56" s="32"/>
      <c r="C56" s="32"/>
      <c r="D56" s="32"/>
      <c r="E56" s="32"/>
      <c r="F56" s="32"/>
      <c r="G56" s="32"/>
      <c r="H56" s="32"/>
      <c r="I56" s="32"/>
      <c r="J56" s="32"/>
      <c r="K56" s="32"/>
      <c r="L56" s="32"/>
      <c r="M56" s="32"/>
      <c r="N56" s="32"/>
      <c r="O56" s="32"/>
      <c r="P56" s="32"/>
      <c r="Q56" s="32"/>
      <c r="R56" s="32"/>
      <c r="S56" s="32"/>
      <c r="T56" s="32"/>
      <c r="U56" s="32"/>
      <c r="V56" s="32"/>
      <c r="W56" s="32"/>
      <c r="X56" s="33"/>
    </row>
    <row r="57">
      <c r="A57" s="37"/>
      <c r="B57" s="32"/>
      <c r="C57" s="32"/>
      <c r="D57" s="32"/>
      <c r="E57" s="32"/>
      <c r="F57" s="32"/>
      <c r="G57" s="32"/>
      <c r="H57" s="32"/>
      <c r="I57" s="32"/>
      <c r="J57" s="32"/>
      <c r="K57" s="32"/>
      <c r="L57" s="32"/>
      <c r="M57" s="32"/>
      <c r="N57" s="32"/>
      <c r="O57" s="32"/>
      <c r="P57" s="32"/>
      <c r="Q57" s="32"/>
      <c r="R57" s="32"/>
      <c r="S57" s="32"/>
      <c r="T57" s="32"/>
      <c r="U57" s="32"/>
      <c r="V57" s="32"/>
      <c r="W57" s="32"/>
      <c r="X57" s="33"/>
    </row>
    <row r="58">
      <c r="A58" s="37"/>
      <c r="B58" s="32"/>
      <c r="C58" s="32"/>
      <c r="D58" s="32"/>
      <c r="E58" s="32"/>
      <c r="F58" s="32"/>
      <c r="G58" s="32"/>
      <c r="H58" s="32"/>
      <c r="I58" s="32"/>
      <c r="J58" s="32"/>
      <c r="K58" s="32"/>
      <c r="L58" s="32"/>
      <c r="M58" s="32"/>
      <c r="N58" s="32"/>
      <c r="O58" s="32"/>
      <c r="P58" s="32"/>
      <c r="Q58" s="32"/>
      <c r="R58" s="32"/>
      <c r="S58" s="32"/>
      <c r="T58" s="32"/>
      <c r="U58" s="32"/>
      <c r="V58" s="32"/>
      <c r="W58" s="32"/>
      <c r="X58" s="33"/>
    </row>
    <row r="59">
      <c r="A59" s="37"/>
      <c r="B59" s="32"/>
      <c r="C59" s="32"/>
      <c r="D59" s="32"/>
      <c r="E59" s="32"/>
      <c r="F59" s="32"/>
      <c r="G59" s="32"/>
      <c r="H59" s="32"/>
      <c r="I59" s="32"/>
      <c r="J59" s="32"/>
      <c r="K59" s="32"/>
      <c r="L59" s="32"/>
      <c r="M59" s="32"/>
      <c r="N59" s="32"/>
      <c r="O59" s="32"/>
      <c r="P59" s="32"/>
      <c r="Q59" s="32"/>
      <c r="R59" s="32"/>
      <c r="S59" s="32"/>
      <c r="T59" s="32"/>
      <c r="U59" s="32"/>
      <c r="V59" s="32"/>
      <c r="W59" s="32"/>
      <c r="X59" s="33"/>
    </row>
    <row r="60">
      <c r="A60" s="37"/>
      <c r="B60" s="32"/>
      <c r="C60" s="32"/>
      <c r="D60" s="32"/>
      <c r="E60" s="32"/>
      <c r="F60" s="32"/>
      <c r="G60" s="32"/>
      <c r="H60" s="32"/>
      <c r="I60" s="32"/>
      <c r="J60" s="32"/>
      <c r="K60" s="32"/>
      <c r="L60" s="32"/>
      <c r="M60" s="32"/>
      <c r="N60" s="32"/>
      <c r="O60" s="32"/>
      <c r="P60" s="32"/>
      <c r="Q60" s="32"/>
      <c r="R60" s="32"/>
      <c r="S60" s="32"/>
      <c r="T60" s="32"/>
      <c r="U60" s="32"/>
      <c r="V60" s="32"/>
      <c r="W60" s="32"/>
      <c r="X60" s="33"/>
    </row>
    <row r="61">
      <c r="A61" s="37"/>
      <c r="B61" s="32"/>
      <c r="C61" s="32"/>
      <c r="D61" s="32"/>
      <c r="E61" s="32"/>
      <c r="F61" s="32"/>
      <c r="G61" s="32"/>
      <c r="H61" s="32"/>
      <c r="I61" s="32"/>
      <c r="J61" s="32"/>
      <c r="K61" s="32"/>
      <c r="L61" s="32"/>
      <c r="M61" s="32"/>
      <c r="N61" s="32"/>
      <c r="O61" s="32"/>
      <c r="P61" s="32"/>
      <c r="Q61" s="32"/>
      <c r="R61" s="32"/>
      <c r="S61" s="32"/>
      <c r="T61" s="32"/>
      <c r="U61" s="32"/>
      <c r="V61" s="32"/>
      <c r="W61" s="32"/>
      <c r="X61" s="33"/>
    </row>
    <row r="62">
      <c r="A62" s="37"/>
      <c r="B62" s="32"/>
      <c r="C62" s="32"/>
      <c r="D62" s="32"/>
      <c r="E62" s="32"/>
      <c r="F62" s="32"/>
      <c r="G62" s="32"/>
      <c r="H62" s="32"/>
      <c r="I62" s="32"/>
      <c r="J62" s="32"/>
      <c r="K62" s="32"/>
      <c r="L62" s="32"/>
      <c r="M62" s="32"/>
      <c r="N62" s="32"/>
      <c r="O62" s="32"/>
      <c r="P62" s="32"/>
      <c r="Q62" s="32"/>
      <c r="R62" s="32"/>
      <c r="S62" s="32"/>
      <c r="T62" s="32"/>
      <c r="U62" s="32"/>
      <c r="V62" s="32"/>
      <c r="W62" s="32"/>
      <c r="X62" s="33"/>
    </row>
    <row r="63">
      <c r="A63" s="37"/>
      <c r="B63" s="32"/>
      <c r="C63" s="32"/>
      <c r="D63" s="32"/>
      <c r="E63" s="32"/>
      <c r="F63" s="32"/>
      <c r="G63" s="32"/>
      <c r="H63" s="32"/>
      <c r="I63" s="32"/>
      <c r="J63" s="32"/>
      <c r="K63" s="32"/>
      <c r="L63" s="32"/>
      <c r="M63" s="32"/>
      <c r="N63" s="32"/>
      <c r="O63" s="32"/>
      <c r="P63" s="32"/>
      <c r="Q63" s="32"/>
      <c r="R63" s="32"/>
      <c r="S63" s="32"/>
      <c r="T63" s="32"/>
      <c r="U63" s="32"/>
      <c r="V63" s="32"/>
      <c r="W63" s="32"/>
      <c r="X63" s="33"/>
    </row>
    <row r="64">
      <c r="A64" s="37"/>
      <c r="B64" s="32"/>
      <c r="C64" s="32"/>
      <c r="D64" s="32"/>
      <c r="E64" s="32"/>
      <c r="F64" s="32"/>
      <c r="G64" s="32"/>
      <c r="H64" s="32"/>
      <c r="I64" s="32"/>
      <c r="J64" s="32"/>
      <c r="K64" s="32"/>
      <c r="L64" s="32"/>
      <c r="M64" s="32"/>
      <c r="N64" s="32"/>
      <c r="O64" s="32"/>
      <c r="P64" s="32"/>
      <c r="Q64" s="32"/>
      <c r="R64" s="32"/>
      <c r="S64" s="32"/>
      <c r="T64" s="32"/>
      <c r="U64" s="32"/>
      <c r="V64" s="32"/>
      <c r="W64" s="32"/>
      <c r="X64" s="33"/>
    </row>
    <row r="65">
      <c r="A65" s="37"/>
      <c r="B65" s="32"/>
      <c r="C65" s="32"/>
      <c r="D65" s="32"/>
      <c r="E65" s="32"/>
      <c r="F65" s="32"/>
      <c r="G65" s="32"/>
      <c r="H65" s="32"/>
      <c r="I65" s="32"/>
      <c r="J65" s="32"/>
      <c r="K65" s="32"/>
      <c r="L65" s="32"/>
      <c r="M65" s="32"/>
      <c r="N65" s="32"/>
      <c r="O65" s="32"/>
      <c r="P65" s="32"/>
      <c r="Q65" s="32"/>
      <c r="R65" s="32"/>
      <c r="S65" s="32"/>
      <c r="T65" s="32"/>
      <c r="U65" s="32"/>
      <c r="V65" s="32"/>
      <c r="W65" s="32"/>
      <c r="X65" s="33"/>
    </row>
    <row r="66">
      <c r="A66" s="37"/>
      <c r="B66" s="32"/>
      <c r="C66" s="32"/>
      <c r="D66" s="32"/>
      <c r="E66" s="32"/>
      <c r="F66" s="32"/>
      <c r="G66" s="32"/>
      <c r="H66" s="32"/>
      <c r="I66" s="32"/>
      <c r="J66" s="32"/>
      <c r="K66" s="32"/>
      <c r="L66" s="32"/>
      <c r="M66" s="32"/>
      <c r="N66" s="32"/>
      <c r="O66" s="32"/>
      <c r="P66" s="32"/>
      <c r="Q66" s="32"/>
      <c r="R66" s="32"/>
      <c r="S66" s="32"/>
      <c r="T66" s="32"/>
      <c r="U66" s="32"/>
      <c r="V66" s="32"/>
      <c r="W66" s="32"/>
      <c r="X66" s="33"/>
    </row>
    <row r="67">
      <c r="A67" s="37"/>
      <c r="B67" s="32"/>
      <c r="C67" s="32"/>
      <c r="D67" s="32"/>
      <c r="E67" s="32"/>
      <c r="F67" s="32"/>
      <c r="G67" s="32"/>
      <c r="H67" s="32"/>
      <c r="I67" s="32"/>
      <c r="J67" s="32"/>
      <c r="K67" s="32"/>
      <c r="L67" s="32"/>
      <c r="M67" s="32"/>
      <c r="N67" s="32"/>
      <c r="O67" s="32"/>
      <c r="P67" s="32"/>
      <c r="Q67" s="32"/>
      <c r="R67" s="32"/>
      <c r="S67" s="32"/>
      <c r="T67" s="32"/>
      <c r="U67" s="32"/>
      <c r="V67" s="32"/>
      <c r="W67" s="32"/>
      <c r="X67" s="33"/>
    </row>
    <row r="68">
      <c r="A68" s="37"/>
      <c r="B68" s="32"/>
      <c r="C68" s="32"/>
      <c r="D68" s="32"/>
      <c r="E68" s="32"/>
      <c r="F68" s="32"/>
      <c r="G68" s="32"/>
      <c r="H68" s="32"/>
      <c r="I68" s="32"/>
      <c r="J68" s="32"/>
      <c r="K68" s="32"/>
      <c r="L68" s="32"/>
      <c r="M68" s="32"/>
      <c r="N68" s="32"/>
      <c r="O68" s="32"/>
      <c r="P68" s="32"/>
      <c r="Q68" s="32"/>
      <c r="R68" s="32"/>
      <c r="S68" s="32"/>
      <c r="T68" s="32"/>
      <c r="U68" s="32"/>
      <c r="V68" s="32"/>
      <c r="W68" s="32"/>
      <c r="X68" s="33"/>
    </row>
    <row r="69">
      <c r="A69" s="37"/>
      <c r="B69" s="32"/>
      <c r="C69" s="32"/>
      <c r="D69" s="32"/>
      <c r="E69" s="32"/>
      <c r="F69" s="32"/>
      <c r="G69" s="32"/>
      <c r="H69" s="32"/>
      <c r="I69" s="32"/>
      <c r="J69" s="32"/>
      <c r="K69" s="32"/>
      <c r="L69" s="32"/>
      <c r="M69" s="32"/>
      <c r="N69" s="32"/>
      <c r="O69" s="32"/>
      <c r="P69" s="32"/>
      <c r="Q69" s="32"/>
      <c r="R69" s="32"/>
      <c r="S69" s="32"/>
      <c r="T69" s="32"/>
      <c r="U69" s="32"/>
      <c r="V69" s="32"/>
      <c r="W69" s="32"/>
      <c r="X69" s="33"/>
    </row>
    <row r="70">
      <c r="A70" s="37"/>
      <c r="B70" s="32"/>
      <c r="C70" s="32"/>
      <c r="D70" s="32"/>
      <c r="E70" s="32"/>
      <c r="F70" s="32"/>
      <c r="G70" s="32"/>
      <c r="H70" s="32"/>
      <c r="I70" s="32"/>
      <c r="J70" s="32"/>
      <c r="K70" s="32"/>
      <c r="L70" s="32"/>
      <c r="M70" s="32"/>
      <c r="N70" s="32"/>
      <c r="O70" s="32"/>
      <c r="P70" s="32"/>
      <c r="Q70" s="32"/>
      <c r="R70" s="32"/>
      <c r="S70" s="32"/>
      <c r="T70" s="32"/>
      <c r="U70" s="32"/>
      <c r="V70" s="32"/>
      <c r="W70" s="32"/>
      <c r="X70" s="33"/>
    </row>
    <row r="71">
      <c r="A71" s="37"/>
      <c r="B71" s="32"/>
      <c r="C71" s="32"/>
      <c r="D71" s="32"/>
      <c r="E71" s="32"/>
      <c r="F71" s="32"/>
      <c r="G71" s="32"/>
      <c r="H71" s="32"/>
      <c r="I71" s="32"/>
      <c r="J71" s="32"/>
      <c r="K71" s="32"/>
      <c r="L71" s="32"/>
      <c r="M71" s="32"/>
      <c r="N71" s="32"/>
      <c r="O71" s="32"/>
      <c r="P71" s="32"/>
      <c r="Q71" s="32"/>
      <c r="R71" s="32"/>
      <c r="S71" s="32"/>
      <c r="T71" s="32"/>
      <c r="U71" s="32"/>
      <c r="V71" s="32"/>
      <c r="W71" s="32"/>
      <c r="X71" s="33"/>
    </row>
    <row r="72">
      <c r="A72" s="37"/>
      <c r="B72" s="32"/>
      <c r="C72" s="32"/>
      <c r="D72" s="32"/>
      <c r="E72" s="32"/>
      <c r="F72" s="32"/>
      <c r="G72" s="32"/>
      <c r="H72" s="32"/>
      <c r="I72" s="32"/>
      <c r="J72" s="32"/>
      <c r="K72" s="32"/>
      <c r="L72" s="32"/>
      <c r="M72" s="32"/>
      <c r="N72" s="32"/>
      <c r="O72" s="32"/>
      <c r="P72" s="32"/>
      <c r="Q72" s="32"/>
      <c r="R72" s="32"/>
      <c r="S72" s="32"/>
      <c r="T72" s="32"/>
      <c r="U72" s="32"/>
      <c r="V72" s="32"/>
      <c r="W72" s="32"/>
      <c r="X72" s="33"/>
    </row>
    <row r="73">
      <c r="A73" s="37"/>
      <c r="B73" s="32"/>
      <c r="C73" s="32"/>
      <c r="D73" s="32"/>
      <c r="E73" s="32"/>
      <c r="F73" s="32"/>
      <c r="G73" s="32"/>
      <c r="H73" s="32"/>
      <c r="I73" s="32"/>
      <c r="J73" s="32"/>
      <c r="K73" s="32"/>
      <c r="L73" s="32"/>
      <c r="M73" s="32"/>
      <c r="N73" s="32"/>
      <c r="O73" s="32"/>
      <c r="P73" s="32"/>
      <c r="Q73" s="32"/>
      <c r="R73" s="32"/>
      <c r="S73" s="32"/>
      <c r="T73" s="32"/>
      <c r="U73" s="32"/>
      <c r="V73" s="32"/>
      <c r="W73" s="32"/>
      <c r="X73" s="33"/>
    </row>
    <row r="74">
      <c r="A74" s="37"/>
      <c r="B74" s="32"/>
      <c r="C74" s="32"/>
      <c r="D74" s="32"/>
      <c r="E74" s="32"/>
      <c r="F74" s="32"/>
      <c r="G74" s="32"/>
      <c r="H74" s="32"/>
      <c r="I74" s="32"/>
      <c r="J74" s="32"/>
      <c r="K74" s="32"/>
      <c r="L74" s="32"/>
      <c r="M74" s="32"/>
      <c r="N74" s="32"/>
      <c r="O74" s="32"/>
      <c r="P74" s="32"/>
      <c r="Q74" s="32"/>
      <c r="R74" s="32"/>
      <c r="S74" s="32"/>
      <c r="T74" s="32"/>
      <c r="U74" s="32"/>
      <c r="V74" s="32"/>
      <c r="W74" s="32"/>
      <c r="X74" s="33"/>
    </row>
    <row r="75">
      <c r="A75" s="37"/>
      <c r="B75" s="32"/>
      <c r="C75" s="32"/>
      <c r="D75" s="32"/>
      <c r="E75" s="32"/>
      <c r="F75" s="32"/>
      <c r="G75" s="32"/>
      <c r="H75" s="32"/>
      <c r="I75" s="32"/>
      <c r="J75" s="32"/>
      <c r="K75" s="32"/>
      <c r="L75" s="32"/>
      <c r="M75" s="32"/>
      <c r="N75" s="32"/>
      <c r="O75" s="32"/>
      <c r="P75" s="32"/>
      <c r="Q75" s="32"/>
      <c r="R75" s="32"/>
      <c r="S75" s="32"/>
      <c r="T75" s="32"/>
      <c r="U75" s="32"/>
      <c r="V75" s="32"/>
      <c r="W75" s="32"/>
      <c r="X75" s="33"/>
    </row>
    <row r="76">
      <c r="A76" s="37"/>
      <c r="B76" s="32"/>
      <c r="C76" s="32"/>
      <c r="D76" s="32"/>
      <c r="E76" s="32"/>
      <c r="F76" s="32"/>
      <c r="G76" s="32"/>
      <c r="H76" s="32"/>
      <c r="I76" s="32"/>
      <c r="J76" s="32"/>
      <c r="K76" s="32"/>
      <c r="L76" s="32"/>
      <c r="M76" s="32"/>
      <c r="N76" s="32"/>
      <c r="O76" s="32"/>
      <c r="P76" s="32"/>
      <c r="Q76" s="32"/>
      <c r="R76" s="32"/>
      <c r="S76" s="32"/>
      <c r="T76" s="32"/>
      <c r="U76" s="32"/>
      <c r="V76" s="32"/>
      <c r="W76" s="32"/>
      <c r="X76" s="33"/>
    </row>
    <row r="77">
      <c r="A77" s="37"/>
      <c r="B77" s="32"/>
      <c r="C77" s="32"/>
      <c r="D77" s="32"/>
      <c r="E77" s="32"/>
      <c r="F77" s="32"/>
      <c r="G77" s="32"/>
      <c r="H77" s="32"/>
      <c r="I77" s="32"/>
      <c r="J77" s="32"/>
      <c r="K77" s="32"/>
      <c r="L77" s="32"/>
      <c r="M77" s="32"/>
      <c r="N77" s="32"/>
      <c r="O77" s="32"/>
      <c r="P77" s="32"/>
      <c r="Q77" s="32"/>
      <c r="R77" s="32"/>
      <c r="S77" s="32"/>
      <c r="T77" s="32"/>
      <c r="U77" s="32"/>
      <c r="V77" s="32"/>
      <c r="W77" s="32"/>
      <c r="X77" s="33"/>
    </row>
    <row r="78">
      <c r="A78" s="37"/>
      <c r="B78" s="32"/>
      <c r="C78" s="32"/>
      <c r="D78" s="32"/>
      <c r="E78" s="32"/>
      <c r="F78" s="32"/>
      <c r="G78" s="32"/>
      <c r="H78" s="32"/>
      <c r="I78" s="32"/>
      <c r="J78" s="32"/>
      <c r="K78" s="32"/>
      <c r="L78" s="32"/>
      <c r="M78" s="32"/>
      <c r="N78" s="32"/>
      <c r="O78" s="32"/>
      <c r="P78" s="32"/>
      <c r="Q78" s="32"/>
      <c r="R78" s="32"/>
      <c r="S78" s="32"/>
      <c r="T78" s="32"/>
      <c r="U78" s="32"/>
      <c r="V78" s="32"/>
      <c r="W78" s="32"/>
      <c r="X78" s="33"/>
    </row>
    <row r="79">
      <c r="A79" s="37"/>
      <c r="B79" s="32"/>
      <c r="C79" s="32"/>
      <c r="D79" s="32"/>
      <c r="E79" s="32"/>
      <c r="F79" s="32"/>
      <c r="G79" s="32"/>
      <c r="H79" s="32"/>
      <c r="I79" s="32"/>
      <c r="J79" s="32"/>
      <c r="K79" s="32"/>
      <c r="L79" s="32"/>
      <c r="M79" s="32"/>
      <c r="N79" s="32"/>
      <c r="O79" s="32"/>
      <c r="P79" s="32"/>
      <c r="Q79" s="32"/>
      <c r="R79" s="32"/>
      <c r="S79" s="32"/>
      <c r="T79" s="32"/>
      <c r="U79" s="32"/>
      <c r="V79" s="32"/>
      <c r="W79" s="32"/>
      <c r="X79" s="33"/>
    </row>
    <row r="80">
      <c r="A80" s="37"/>
      <c r="B80" s="32"/>
      <c r="C80" s="32"/>
      <c r="D80" s="32"/>
      <c r="E80" s="32"/>
      <c r="F80" s="32"/>
      <c r="G80" s="32"/>
      <c r="H80" s="32"/>
      <c r="I80" s="32"/>
      <c r="J80" s="32"/>
      <c r="K80" s="32"/>
      <c r="L80" s="32"/>
      <c r="M80" s="32"/>
      <c r="N80" s="32"/>
      <c r="O80" s="32"/>
      <c r="P80" s="32"/>
      <c r="Q80" s="32"/>
      <c r="R80" s="32"/>
      <c r="S80" s="32"/>
      <c r="T80" s="32"/>
      <c r="U80" s="32"/>
      <c r="V80" s="32"/>
      <c r="W80" s="32"/>
      <c r="X80" s="33"/>
    </row>
    <row r="81">
      <c r="A81" s="37"/>
      <c r="B81" s="32"/>
      <c r="C81" s="32"/>
      <c r="D81" s="32"/>
      <c r="E81" s="32"/>
      <c r="F81" s="32"/>
      <c r="G81" s="32"/>
      <c r="H81" s="32"/>
      <c r="I81" s="32"/>
      <c r="J81" s="32"/>
      <c r="K81" s="32"/>
      <c r="L81" s="32"/>
      <c r="M81" s="32"/>
      <c r="N81" s="32"/>
      <c r="O81" s="32"/>
      <c r="P81" s="32"/>
      <c r="Q81" s="32"/>
      <c r="R81" s="32"/>
      <c r="S81" s="32"/>
      <c r="T81" s="32"/>
      <c r="U81" s="32"/>
      <c r="V81" s="32"/>
      <c r="W81" s="32"/>
      <c r="X81" s="33"/>
    </row>
    <row r="82">
      <c r="A82" s="37"/>
      <c r="B82" s="32"/>
      <c r="C82" s="32"/>
      <c r="D82" s="32"/>
      <c r="E82" s="32"/>
      <c r="F82" s="32"/>
      <c r="G82" s="32"/>
      <c r="H82" s="32"/>
      <c r="I82" s="32"/>
      <c r="J82" s="32"/>
      <c r="K82" s="32"/>
      <c r="L82" s="32"/>
      <c r="M82" s="32"/>
      <c r="N82" s="32"/>
      <c r="O82" s="32"/>
      <c r="P82" s="32"/>
      <c r="Q82" s="32"/>
      <c r="R82" s="32"/>
      <c r="S82" s="32"/>
      <c r="T82" s="32"/>
      <c r="U82" s="32"/>
      <c r="V82" s="32"/>
      <c r="W82" s="32"/>
      <c r="X82" s="33"/>
    </row>
    <row r="83">
      <c r="A83" s="37"/>
      <c r="B83" s="32"/>
      <c r="C83" s="32"/>
      <c r="D83" s="32"/>
      <c r="E83" s="32"/>
      <c r="F83" s="32"/>
      <c r="G83" s="32"/>
      <c r="H83" s="32"/>
      <c r="I83" s="32"/>
      <c r="J83" s="32"/>
      <c r="K83" s="32"/>
      <c r="L83" s="32"/>
      <c r="M83" s="32"/>
      <c r="N83" s="32"/>
      <c r="O83" s="32"/>
      <c r="P83" s="32"/>
      <c r="Q83" s="32"/>
      <c r="R83" s="32"/>
      <c r="S83" s="32"/>
      <c r="T83" s="32"/>
      <c r="U83" s="32"/>
      <c r="V83" s="32"/>
      <c r="W83" s="32"/>
      <c r="X83" s="33"/>
    </row>
    <row r="84">
      <c r="A84" s="37"/>
      <c r="B84" s="32"/>
      <c r="C84" s="32"/>
      <c r="D84" s="32"/>
      <c r="E84" s="32"/>
      <c r="F84" s="32"/>
      <c r="G84" s="32"/>
      <c r="H84" s="32"/>
      <c r="I84" s="32"/>
      <c r="J84" s="32"/>
      <c r="K84" s="32"/>
      <c r="L84" s="32"/>
      <c r="M84" s="32"/>
      <c r="N84" s="32"/>
      <c r="O84" s="32"/>
      <c r="P84" s="32"/>
      <c r="Q84" s="32"/>
      <c r="R84" s="32"/>
      <c r="S84" s="32"/>
      <c r="T84" s="32"/>
      <c r="U84" s="32"/>
      <c r="V84" s="32"/>
      <c r="W84" s="32"/>
      <c r="X84" s="33"/>
    </row>
    <row r="85">
      <c r="A85" s="37"/>
      <c r="B85" s="32"/>
      <c r="C85" s="32"/>
      <c r="D85" s="32"/>
      <c r="E85" s="32"/>
      <c r="F85" s="32"/>
      <c r="G85" s="32"/>
      <c r="H85" s="32"/>
      <c r="I85" s="32"/>
      <c r="J85" s="32"/>
      <c r="K85" s="32"/>
      <c r="L85" s="32"/>
      <c r="M85" s="32"/>
      <c r="N85" s="32"/>
      <c r="O85" s="32"/>
      <c r="P85" s="32"/>
      <c r="Q85" s="32"/>
      <c r="R85" s="32"/>
      <c r="S85" s="32"/>
      <c r="T85" s="32"/>
      <c r="U85" s="32"/>
      <c r="V85" s="32"/>
      <c r="W85" s="32"/>
      <c r="X85" s="33"/>
    </row>
    <row r="86">
      <c r="A86" s="37"/>
      <c r="B86" s="32"/>
      <c r="C86" s="32"/>
      <c r="D86" s="32"/>
      <c r="E86" s="32"/>
      <c r="F86" s="32"/>
      <c r="G86" s="32"/>
      <c r="H86" s="32"/>
      <c r="I86" s="32"/>
      <c r="J86" s="32"/>
      <c r="K86" s="32"/>
      <c r="L86" s="32"/>
      <c r="M86" s="32"/>
      <c r="N86" s="32"/>
      <c r="O86" s="32"/>
      <c r="P86" s="32"/>
      <c r="Q86" s="32"/>
      <c r="R86" s="32"/>
      <c r="S86" s="32"/>
      <c r="T86" s="32"/>
      <c r="U86" s="32"/>
      <c r="V86" s="32"/>
      <c r="W86" s="32"/>
      <c r="X86" s="33"/>
    </row>
    <row r="87">
      <c r="A87" s="37"/>
      <c r="B87" s="32"/>
      <c r="C87" s="32"/>
      <c r="D87" s="32"/>
      <c r="E87" s="32"/>
      <c r="F87" s="32"/>
      <c r="G87" s="32"/>
      <c r="H87" s="32"/>
      <c r="I87" s="32"/>
      <c r="J87" s="32"/>
      <c r="K87" s="32"/>
      <c r="L87" s="32"/>
      <c r="M87" s="32"/>
      <c r="N87" s="32"/>
      <c r="O87" s="32"/>
      <c r="P87" s="32"/>
      <c r="Q87" s="32"/>
      <c r="R87" s="32"/>
      <c r="S87" s="32"/>
      <c r="T87" s="32"/>
      <c r="U87" s="32"/>
      <c r="V87" s="32"/>
      <c r="W87" s="32"/>
      <c r="X87" s="33"/>
    </row>
    <row r="88">
      <c r="A88" s="37"/>
      <c r="B88" s="32"/>
      <c r="C88" s="32"/>
      <c r="D88" s="32"/>
      <c r="E88" s="32"/>
      <c r="F88" s="32"/>
      <c r="G88" s="32"/>
      <c r="H88" s="32"/>
      <c r="I88" s="32"/>
      <c r="J88" s="32"/>
      <c r="K88" s="32"/>
      <c r="L88" s="32"/>
      <c r="M88" s="32"/>
      <c r="N88" s="32"/>
      <c r="O88" s="32"/>
      <c r="P88" s="32"/>
      <c r="Q88" s="32"/>
      <c r="R88" s="32"/>
      <c r="S88" s="32"/>
      <c r="T88" s="32"/>
      <c r="U88" s="32"/>
      <c r="V88" s="32"/>
      <c r="W88" s="32"/>
      <c r="X88" s="33"/>
    </row>
    <row r="89">
      <c r="A89" s="37"/>
      <c r="B89" s="32"/>
      <c r="C89" s="32"/>
      <c r="D89" s="32"/>
      <c r="E89" s="32"/>
      <c r="F89" s="32"/>
      <c r="G89" s="32"/>
      <c r="H89" s="32"/>
      <c r="I89" s="32"/>
      <c r="J89" s="32"/>
      <c r="K89" s="32"/>
      <c r="L89" s="32"/>
      <c r="M89" s="32"/>
      <c r="N89" s="32"/>
      <c r="O89" s="32"/>
      <c r="P89" s="32"/>
      <c r="Q89" s="32"/>
      <c r="R89" s="32"/>
      <c r="S89" s="32"/>
      <c r="T89" s="32"/>
      <c r="U89" s="32"/>
      <c r="V89" s="32"/>
      <c r="W89" s="32"/>
      <c r="X89" s="33"/>
    </row>
    <row r="90">
      <c r="A90" s="37"/>
      <c r="B90" s="32"/>
      <c r="C90" s="32"/>
      <c r="D90" s="32"/>
      <c r="E90" s="32"/>
      <c r="F90" s="32"/>
      <c r="G90" s="32"/>
      <c r="H90" s="32"/>
      <c r="I90" s="32"/>
      <c r="J90" s="32"/>
      <c r="K90" s="32"/>
      <c r="L90" s="32"/>
      <c r="M90" s="32"/>
      <c r="N90" s="32"/>
      <c r="O90" s="32"/>
      <c r="P90" s="32"/>
      <c r="Q90" s="32"/>
      <c r="R90" s="32"/>
      <c r="S90" s="32"/>
      <c r="T90" s="32"/>
      <c r="U90" s="32"/>
      <c r="V90" s="32"/>
      <c r="W90" s="32"/>
      <c r="X90" s="33"/>
    </row>
    <row r="91">
      <c r="A91" s="37"/>
      <c r="B91" s="32"/>
      <c r="C91" s="32"/>
      <c r="D91" s="32"/>
      <c r="E91" s="32"/>
      <c r="F91" s="32"/>
      <c r="G91" s="32"/>
      <c r="H91" s="32"/>
      <c r="I91" s="32"/>
      <c r="J91" s="32"/>
      <c r="K91" s="32"/>
      <c r="L91" s="32"/>
      <c r="M91" s="32"/>
      <c r="N91" s="32"/>
      <c r="O91" s="32"/>
      <c r="P91" s="32"/>
      <c r="Q91" s="32"/>
      <c r="R91" s="32"/>
      <c r="S91" s="32"/>
      <c r="T91" s="32"/>
      <c r="U91" s="32"/>
      <c r="V91" s="32"/>
      <c r="W91" s="32"/>
      <c r="X91" s="33"/>
    </row>
    <row r="92">
      <c r="A92" s="37"/>
      <c r="B92" s="32"/>
      <c r="C92" s="32"/>
      <c r="D92" s="32"/>
      <c r="E92" s="32"/>
      <c r="F92" s="32"/>
      <c r="G92" s="32"/>
      <c r="H92" s="32"/>
      <c r="I92" s="32"/>
      <c r="J92" s="32"/>
      <c r="K92" s="32"/>
      <c r="L92" s="32"/>
      <c r="M92" s="32"/>
      <c r="N92" s="32"/>
      <c r="O92" s="32"/>
      <c r="P92" s="32"/>
      <c r="Q92" s="32"/>
      <c r="R92" s="32"/>
      <c r="S92" s="32"/>
      <c r="T92" s="32"/>
      <c r="U92" s="32"/>
      <c r="V92" s="32"/>
      <c r="W92" s="32"/>
      <c r="X92" s="33"/>
    </row>
    <row r="93">
      <c r="A93" s="37"/>
      <c r="B93" s="32"/>
      <c r="C93" s="32"/>
      <c r="D93" s="32"/>
      <c r="E93" s="32"/>
      <c r="F93" s="32"/>
      <c r="G93" s="32"/>
      <c r="H93" s="32"/>
      <c r="I93" s="32"/>
      <c r="J93" s="32"/>
      <c r="K93" s="32"/>
      <c r="L93" s="32"/>
      <c r="M93" s="32"/>
      <c r="N93" s="32"/>
      <c r="O93" s="32"/>
      <c r="P93" s="32"/>
      <c r="Q93" s="32"/>
      <c r="R93" s="32"/>
      <c r="S93" s="32"/>
      <c r="T93" s="32"/>
      <c r="U93" s="32"/>
      <c r="V93" s="32"/>
      <c r="W93" s="32"/>
      <c r="X93" s="33"/>
    </row>
    <row r="94">
      <c r="A94" s="37"/>
      <c r="B94" s="32"/>
      <c r="C94" s="32"/>
      <c r="D94" s="32"/>
      <c r="E94" s="32"/>
      <c r="F94" s="32"/>
      <c r="G94" s="32"/>
      <c r="H94" s="32"/>
      <c r="I94" s="32"/>
      <c r="J94" s="32"/>
      <c r="K94" s="32"/>
      <c r="L94" s="32"/>
      <c r="M94" s="32"/>
      <c r="N94" s="32"/>
      <c r="O94" s="32"/>
      <c r="P94" s="32"/>
      <c r="Q94" s="32"/>
      <c r="R94" s="32"/>
      <c r="S94" s="32"/>
      <c r="T94" s="32"/>
      <c r="U94" s="32"/>
      <c r="V94" s="32"/>
      <c r="W94" s="32"/>
      <c r="X94" s="33"/>
    </row>
    <row r="95">
      <c r="A95" s="37"/>
      <c r="B95" s="32"/>
      <c r="C95" s="32"/>
      <c r="D95" s="32"/>
      <c r="E95" s="32"/>
      <c r="F95" s="32"/>
      <c r="G95" s="32"/>
      <c r="H95" s="32"/>
      <c r="I95" s="32"/>
      <c r="J95" s="32"/>
      <c r="K95" s="32"/>
      <c r="L95" s="32"/>
      <c r="M95" s="32"/>
      <c r="N95" s="32"/>
      <c r="O95" s="32"/>
      <c r="P95" s="32"/>
      <c r="Q95" s="32"/>
      <c r="R95" s="32"/>
      <c r="S95" s="32"/>
      <c r="T95" s="32"/>
      <c r="U95" s="32"/>
      <c r="V95" s="32"/>
      <c r="W95" s="32"/>
      <c r="X95" s="33"/>
    </row>
    <row r="96">
      <c r="A96" s="37"/>
      <c r="B96" s="32"/>
      <c r="C96" s="32"/>
      <c r="D96" s="32"/>
      <c r="E96" s="32"/>
      <c r="F96" s="32"/>
      <c r="G96" s="32"/>
      <c r="H96" s="32"/>
      <c r="I96" s="32"/>
      <c r="J96" s="32"/>
      <c r="K96" s="32"/>
      <c r="L96" s="32"/>
      <c r="M96" s="32"/>
      <c r="N96" s="32"/>
      <c r="O96" s="32"/>
      <c r="P96" s="32"/>
      <c r="Q96" s="32"/>
      <c r="R96" s="32"/>
      <c r="S96" s="32"/>
      <c r="T96" s="32"/>
      <c r="U96" s="32"/>
      <c r="V96" s="32"/>
      <c r="W96" s="32"/>
      <c r="X96" s="33"/>
    </row>
    <row r="97">
      <c r="A97" s="37"/>
      <c r="B97" s="32"/>
      <c r="C97" s="32"/>
      <c r="D97" s="32"/>
      <c r="E97" s="32"/>
      <c r="F97" s="32"/>
      <c r="G97" s="32"/>
      <c r="H97" s="32"/>
      <c r="I97" s="32"/>
      <c r="J97" s="32"/>
      <c r="K97" s="32"/>
      <c r="L97" s="32"/>
      <c r="M97" s="32"/>
      <c r="N97" s="32"/>
      <c r="O97" s="32"/>
      <c r="P97" s="32"/>
      <c r="Q97" s="32"/>
      <c r="R97" s="32"/>
      <c r="S97" s="32"/>
      <c r="T97" s="32"/>
      <c r="U97" s="32"/>
      <c r="V97" s="32"/>
      <c r="W97" s="32"/>
      <c r="X97" s="33"/>
    </row>
    <row r="98">
      <c r="A98" s="37"/>
      <c r="B98" s="32"/>
      <c r="C98" s="32"/>
      <c r="D98" s="32"/>
      <c r="E98" s="32"/>
      <c r="F98" s="32"/>
      <c r="G98" s="32"/>
      <c r="H98" s="32"/>
      <c r="I98" s="32"/>
      <c r="J98" s="32"/>
      <c r="K98" s="32"/>
      <c r="L98" s="32"/>
      <c r="M98" s="32"/>
      <c r="N98" s="32"/>
      <c r="O98" s="32"/>
      <c r="P98" s="32"/>
      <c r="Q98" s="32"/>
      <c r="R98" s="32"/>
      <c r="S98" s="32"/>
      <c r="T98" s="32"/>
      <c r="U98" s="32"/>
      <c r="V98" s="32"/>
      <c r="W98" s="32"/>
      <c r="X98" s="33"/>
    </row>
    <row r="99">
      <c r="A99" s="37"/>
      <c r="B99" s="32"/>
      <c r="C99" s="32"/>
      <c r="D99" s="32"/>
      <c r="E99" s="32"/>
      <c r="F99" s="32"/>
      <c r="G99" s="32"/>
      <c r="H99" s="32"/>
      <c r="I99" s="32"/>
      <c r="J99" s="32"/>
      <c r="K99" s="32"/>
      <c r="L99" s="32"/>
      <c r="M99" s="32"/>
      <c r="N99" s="32"/>
      <c r="O99" s="32"/>
      <c r="P99" s="32"/>
      <c r="Q99" s="32"/>
      <c r="R99" s="32"/>
      <c r="S99" s="32"/>
      <c r="T99" s="32"/>
      <c r="U99" s="32"/>
      <c r="V99" s="32"/>
      <c r="W99" s="32"/>
      <c r="X99" s="33"/>
    </row>
    <row r="100">
      <c r="A100" s="37"/>
      <c r="B100" s="32"/>
      <c r="C100" s="32"/>
      <c r="D100" s="32"/>
      <c r="E100" s="32"/>
      <c r="F100" s="32"/>
      <c r="G100" s="32"/>
      <c r="H100" s="32"/>
      <c r="I100" s="32"/>
      <c r="J100" s="32"/>
      <c r="K100" s="32"/>
      <c r="L100" s="32"/>
      <c r="M100" s="32"/>
      <c r="N100" s="32"/>
      <c r="O100" s="32"/>
      <c r="P100" s="32"/>
      <c r="Q100" s="32"/>
      <c r="R100" s="32"/>
      <c r="S100" s="32"/>
      <c r="T100" s="32"/>
      <c r="U100" s="32"/>
      <c r="V100" s="32"/>
      <c r="W100" s="32"/>
      <c r="X100" s="33"/>
    </row>
    <row r="101">
      <c r="A101" s="37"/>
      <c r="B101" s="32"/>
      <c r="C101" s="32"/>
      <c r="D101" s="32"/>
      <c r="E101" s="32"/>
      <c r="F101" s="32"/>
      <c r="G101" s="32"/>
      <c r="H101" s="32"/>
      <c r="I101" s="32"/>
      <c r="J101" s="32"/>
      <c r="K101" s="32"/>
      <c r="L101" s="32"/>
      <c r="M101" s="32"/>
      <c r="N101" s="32"/>
      <c r="O101" s="32"/>
      <c r="P101" s="32"/>
      <c r="Q101" s="32"/>
      <c r="R101" s="32"/>
      <c r="S101" s="32"/>
      <c r="T101" s="32"/>
      <c r="U101" s="32"/>
      <c r="V101" s="32"/>
      <c r="W101" s="32"/>
      <c r="X101" s="33"/>
    </row>
    <row r="102">
      <c r="A102" s="37"/>
      <c r="B102" s="32"/>
      <c r="C102" s="32"/>
      <c r="D102" s="32"/>
      <c r="E102" s="32"/>
      <c r="F102" s="32"/>
      <c r="G102" s="32"/>
      <c r="H102" s="32"/>
      <c r="I102" s="32"/>
      <c r="J102" s="32"/>
      <c r="K102" s="32"/>
      <c r="L102" s="32"/>
      <c r="M102" s="32"/>
      <c r="N102" s="32"/>
      <c r="O102" s="32"/>
      <c r="P102" s="32"/>
      <c r="Q102" s="32"/>
      <c r="R102" s="32"/>
      <c r="S102" s="32"/>
      <c r="T102" s="32"/>
      <c r="U102" s="32"/>
      <c r="V102" s="32"/>
      <c r="W102" s="32"/>
      <c r="X102" s="33"/>
    </row>
    <row r="103">
      <c r="A103" s="37"/>
      <c r="B103" s="32"/>
      <c r="C103" s="32"/>
      <c r="D103" s="32"/>
      <c r="E103" s="32"/>
      <c r="F103" s="32"/>
      <c r="G103" s="32"/>
      <c r="H103" s="32"/>
      <c r="I103" s="32"/>
      <c r="J103" s="32"/>
      <c r="K103" s="32"/>
      <c r="L103" s="32"/>
      <c r="M103" s="32"/>
      <c r="N103" s="32"/>
      <c r="O103" s="32"/>
      <c r="P103" s="32"/>
      <c r="Q103" s="32"/>
      <c r="R103" s="32"/>
      <c r="S103" s="32"/>
      <c r="T103" s="32"/>
      <c r="U103" s="32"/>
      <c r="V103" s="32"/>
      <c r="W103" s="32"/>
      <c r="X103" s="33"/>
    </row>
    <row r="104">
      <c r="A104" s="37"/>
      <c r="B104" s="32"/>
      <c r="C104" s="32"/>
      <c r="D104" s="32"/>
      <c r="E104" s="32"/>
      <c r="F104" s="32"/>
      <c r="G104" s="32"/>
      <c r="H104" s="32"/>
      <c r="I104" s="32"/>
      <c r="J104" s="32"/>
      <c r="K104" s="32"/>
      <c r="L104" s="32"/>
      <c r="M104" s="32"/>
      <c r="N104" s="32"/>
      <c r="O104" s="32"/>
      <c r="P104" s="32"/>
      <c r="Q104" s="32"/>
      <c r="R104" s="32"/>
      <c r="S104" s="32"/>
      <c r="T104" s="32"/>
      <c r="U104" s="32"/>
      <c r="V104" s="32"/>
      <c r="W104" s="32"/>
      <c r="X104" s="33"/>
    </row>
    <row r="105">
      <c r="A105" s="37"/>
      <c r="B105" s="32"/>
      <c r="C105" s="32"/>
      <c r="D105" s="32"/>
      <c r="E105" s="32"/>
      <c r="F105" s="32"/>
      <c r="G105" s="32"/>
      <c r="H105" s="32"/>
      <c r="I105" s="32"/>
      <c r="J105" s="32"/>
      <c r="K105" s="32"/>
      <c r="L105" s="32"/>
      <c r="M105" s="32"/>
      <c r="N105" s="32"/>
      <c r="O105" s="32"/>
      <c r="P105" s="32"/>
      <c r="Q105" s="32"/>
      <c r="R105" s="32"/>
      <c r="S105" s="32"/>
      <c r="T105" s="32"/>
      <c r="U105" s="32"/>
      <c r="V105" s="32"/>
      <c r="W105" s="32"/>
      <c r="X105" s="33"/>
    </row>
    <row r="106">
      <c r="A106" s="37"/>
      <c r="B106" s="32"/>
      <c r="C106" s="32"/>
      <c r="D106" s="32"/>
      <c r="E106" s="32"/>
      <c r="F106" s="32"/>
      <c r="G106" s="32"/>
      <c r="H106" s="32"/>
      <c r="I106" s="32"/>
      <c r="J106" s="32"/>
      <c r="K106" s="32"/>
      <c r="L106" s="32"/>
      <c r="M106" s="32"/>
      <c r="N106" s="32"/>
      <c r="O106" s="32"/>
      <c r="P106" s="32"/>
      <c r="Q106" s="32"/>
      <c r="R106" s="32"/>
      <c r="S106" s="32"/>
      <c r="T106" s="32"/>
      <c r="U106" s="32"/>
      <c r="V106" s="32"/>
      <c r="W106" s="32"/>
      <c r="X106" s="33"/>
    </row>
    <row r="107">
      <c r="A107" s="37"/>
      <c r="B107" s="32"/>
      <c r="C107" s="32"/>
      <c r="D107" s="32"/>
      <c r="E107" s="32"/>
      <c r="F107" s="32"/>
      <c r="G107" s="32"/>
      <c r="H107" s="32"/>
      <c r="I107" s="32"/>
      <c r="J107" s="32"/>
      <c r="K107" s="32"/>
      <c r="L107" s="32"/>
      <c r="M107" s="32"/>
      <c r="N107" s="32"/>
      <c r="O107" s="32"/>
      <c r="P107" s="32"/>
      <c r="Q107" s="32"/>
      <c r="R107" s="32"/>
      <c r="S107" s="32"/>
      <c r="T107" s="32"/>
      <c r="U107" s="32"/>
      <c r="V107" s="32"/>
      <c r="W107" s="32"/>
      <c r="X107" s="33"/>
    </row>
    <row r="108">
      <c r="A108" s="37"/>
      <c r="B108" s="32"/>
      <c r="C108" s="32"/>
      <c r="D108" s="32"/>
      <c r="E108" s="32"/>
      <c r="F108" s="32"/>
      <c r="G108" s="32"/>
      <c r="H108" s="32"/>
      <c r="I108" s="32"/>
      <c r="J108" s="32"/>
      <c r="K108" s="32"/>
      <c r="L108" s="32"/>
      <c r="M108" s="32"/>
      <c r="N108" s="32"/>
      <c r="O108" s="32"/>
      <c r="P108" s="32"/>
      <c r="Q108" s="32"/>
      <c r="R108" s="32"/>
      <c r="S108" s="32"/>
      <c r="T108" s="32"/>
      <c r="U108" s="32"/>
      <c r="V108" s="32"/>
      <c r="W108" s="32"/>
      <c r="X108" s="33"/>
    </row>
    <row r="109">
      <c r="A109" s="37"/>
      <c r="B109" s="32"/>
      <c r="C109" s="32"/>
      <c r="D109" s="32"/>
      <c r="E109" s="32"/>
      <c r="F109" s="32"/>
      <c r="G109" s="32"/>
      <c r="H109" s="32"/>
      <c r="I109" s="32"/>
      <c r="J109" s="32"/>
      <c r="K109" s="32"/>
      <c r="L109" s="32"/>
      <c r="M109" s="32"/>
      <c r="N109" s="32"/>
      <c r="O109" s="32"/>
      <c r="P109" s="32"/>
      <c r="Q109" s="32"/>
      <c r="R109" s="32"/>
      <c r="S109" s="32"/>
      <c r="T109" s="32"/>
      <c r="U109" s="32"/>
      <c r="V109" s="32"/>
      <c r="W109" s="32"/>
      <c r="X109" s="33"/>
    </row>
    <row r="110">
      <c r="A110" s="37"/>
      <c r="B110" s="32"/>
      <c r="C110" s="32"/>
      <c r="D110" s="32"/>
      <c r="E110" s="32"/>
      <c r="F110" s="32"/>
      <c r="G110" s="32"/>
      <c r="H110" s="32"/>
      <c r="I110" s="32"/>
      <c r="J110" s="32"/>
      <c r="K110" s="32"/>
      <c r="L110" s="32"/>
      <c r="M110" s="32"/>
      <c r="N110" s="32"/>
      <c r="O110" s="32"/>
      <c r="P110" s="32"/>
      <c r="Q110" s="32"/>
      <c r="R110" s="32"/>
      <c r="S110" s="32"/>
      <c r="T110" s="32"/>
      <c r="U110" s="32"/>
      <c r="V110" s="32"/>
      <c r="W110" s="32"/>
      <c r="X110" s="33"/>
    </row>
    <row r="111">
      <c r="A111" s="37"/>
      <c r="B111" s="32"/>
      <c r="C111" s="32"/>
      <c r="D111" s="32"/>
      <c r="E111" s="32"/>
      <c r="F111" s="32"/>
      <c r="G111" s="32"/>
      <c r="H111" s="32"/>
      <c r="I111" s="32"/>
      <c r="J111" s="32"/>
      <c r="K111" s="32"/>
      <c r="L111" s="32"/>
      <c r="M111" s="32"/>
      <c r="N111" s="32"/>
      <c r="O111" s="32"/>
      <c r="P111" s="32"/>
      <c r="Q111" s="32"/>
      <c r="R111" s="32"/>
      <c r="S111" s="32"/>
      <c r="T111" s="32"/>
      <c r="U111" s="32"/>
      <c r="V111" s="32"/>
      <c r="W111" s="32"/>
      <c r="X111" s="33"/>
    </row>
    <row r="112">
      <c r="A112" s="37"/>
      <c r="B112" s="32"/>
      <c r="C112" s="32"/>
      <c r="D112" s="32"/>
      <c r="E112" s="32"/>
      <c r="F112" s="32"/>
      <c r="G112" s="32"/>
      <c r="H112" s="32"/>
      <c r="I112" s="32"/>
      <c r="J112" s="32"/>
      <c r="K112" s="32"/>
      <c r="L112" s="32"/>
      <c r="M112" s="32"/>
      <c r="N112" s="32"/>
      <c r="O112" s="32"/>
      <c r="P112" s="32"/>
      <c r="Q112" s="32"/>
      <c r="R112" s="32"/>
      <c r="S112" s="32"/>
      <c r="T112" s="32"/>
      <c r="U112" s="32"/>
      <c r="V112" s="32"/>
      <c r="W112" s="32"/>
      <c r="X112" s="33"/>
    </row>
    <row r="113">
      <c r="A113" s="37"/>
      <c r="B113" s="32"/>
      <c r="C113" s="32"/>
      <c r="D113" s="32"/>
      <c r="E113" s="32"/>
      <c r="F113" s="32"/>
      <c r="G113" s="32"/>
      <c r="H113" s="32"/>
      <c r="I113" s="32"/>
      <c r="J113" s="32"/>
      <c r="K113" s="32"/>
      <c r="L113" s="32"/>
      <c r="M113" s="32"/>
      <c r="N113" s="32"/>
      <c r="O113" s="32"/>
      <c r="P113" s="32"/>
      <c r="Q113" s="32"/>
      <c r="R113" s="32"/>
      <c r="S113" s="32"/>
      <c r="T113" s="32"/>
      <c r="U113" s="32"/>
      <c r="V113" s="32"/>
      <c r="W113" s="32"/>
      <c r="X113" s="33"/>
    </row>
    <row r="114">
      <c r="A114" s="37"/>
      <c r="B114" s="32"/>
      <c r="C114" s="32"/>
      <c r="D114" s="32"/>
      <c r="E114" s="32"/>
      <c r="F114" s="32"/>
      <c r="G114" s="32"/>
      <c r="H114" s="32"/>
      <c r="I114" s="32"/>
      <c r="J114" s="32"/>
      <c r="K114" s="32"/>
      <c r="L114" s="32"/>
      <c r="M114" s="32"/>
      <c r="N114" s="32"/>
      <c r="O114" s="32"/>
      <c r="P114" s="32"/>
      <c r="Q114" s="32"/>
      <c r="R114" s="32"/>
      <c r="S114" s="32"/>
      <c r="T114" s="32"/>
      <c r="U114" s="32"/>
      <c r="V114" s="32"/>
      <c r="W114" s="32"/>
      <c r="X114" s="33"/>
    </row>
    <row r="115">
      <c r="A115" s="37"/>
      <c r="B115" s="32"/>
      <c r="C115" s="32"/>
      <c r="D115" s="32"/>
      <c r="E115" s="32"/>
      <c r="F115" s="32"/>
      <c r="G115" s="32"/>
      <c r="H115" s="32"/>
      <c r="I115" s="32"/>
      <c r="J115" s="32"/>
      <c r="K115" s="32"/>
      <c r="L115" s="32"/>
      <c r="M115" s="32"/>
      <c r="N115" s="32"/>
      <c r="O115" s="32"/>
      <c r="P115" s="32"/>
      <c r="Q115" s="32"/>
      <c r="R115" s="32"/>
      <c r="S115" s="32"/>
      <c r="T115" s="32"/>
      <c r="U115" s="32"/>
      <c r="V115" s="32"/>
      <c r="W115" s="32"/>
      <c r="X115" s="33"/>
    </row>
    <row r="116">
      <c r="A116" s="37"/>
      <c r="B116" s="32"/>
      <c r="C116" s="32"/>
      <c r="D116" s="32"/>
      <c r="E116" s="32"/>
      <c r="F116" s="32"/>
      <c r="G116" s="32"/>
      <c r="H116" s="32"/>
      <c r="I116" s="32"/>
      <c r="J116" s="32"/>
      <c r="K116" s="32"/>
      <c r="L116" s="32"/>
      <c r="M116" s="32"/>
      <c r="N116" s="32"/>
      <c r="O116" s="32"/>
      <c r="P116" s="32"/>
      <c r="Q116" s="32"/>
      <c r="R116" s="32"/>
      <c r="S116" s="32"/>
      <c r="T116" s="32"/>
      <c r="U116" s="32"/>
      <c r="V116" s="32"/>
      <c r="W116" s="32"/>
      <c r="X116" s="33"/>
    </row>
    <row r="117">
      <c r="A117" s="37"/>
      <c r="B117" s="32"/>
      <c r="C117" s="32"/>
      <c r="D117" s="32"/>
      <c r="E117" s="32"/>
      <c r="F117" s="32"/>
      <c r="G117" s="32"/>
      <c r="H117" s="32"/>
      <c r="I117" s="32"/>
      <c r="J117" s="32"/>
      <c r="K117" s="32"/>
      <c r="L117" s="32"/>
      <c r="M117" s="32"/>
      <c r="N117" s="32"/>
      <c r="O117" s="32"/>
      <c r="P117" s="32"/>
      <c r="Q117" s="32"/>
      <c r="R117" s="32"/>
      <c r="S117" s="32"/>
      <c r="T117" s="32"/>
      <c r="U117" s="32"/>
      <c r="V117" s="32"/>
      <c r="W117" s="32"/>
      <c r="X117" s="33"/>
    </row>
    <row r="118">
      <c r="A118" s="37"/>
      <c r="B118" s="32"/>
      <c r="C118" s="32"/>
      <c r="D118" s="32"/>
      <c r="E118" s="32"/>
      <c r="F118" s="32"/>
      <c r="G118" s="32"/>
      <c r="H118" s="32"/>
      <c r="I118" s="32"/>
      <c r="J118" s="32"/>
      <c r="K118" s="32"/>
      <c r="L118" s="32"/>
      <c r="M118" s="32"/>
      <c r="N118" s="32"/>
      <c r="O118" s="32"/>
      <c r="P118" s="32"/>
      <c r="Q118" s="32"/>
      <c r="R118" s="32"/>
      <c r="S118" s="32"/>
      <c r="T118" s="32"/>
      <c r="U118" s="32"/>
      <c r="V118" s="32"/>
      <c r="W118" s="32"/>
      <c r="X118" s="33"/>
    </row>
    <row r="119">
      <c r="A119" s="37"/>
      <c r="B119" s="32"/>
      <c r="C119" s="32"/>
      <c r="D119" s="32"/>
      <c r="E119" s="32"/>
      <c r="F119" s="32"/>
      <c r="G119" s="32"/>
      <c r="H119" s="32"/>
      <c r="I119" s="32"/>
      <c r="J119" s="32"/>
      <c r="K119" s="32"/>
      <c r="L119" s="32"/>
      <c r="M119" s="32"/>
      <c r="N119" s="32"/>
      <c r="O119" s="32"/>
      <c r="P119" s="32"/>
      <c r="Q119" s="32"/>
      <c r="R119" s="32"/>
      <c r="S119" s="32"/>
      <c r="T119" s="32"/>
      <c r="U119" s="32"/>
      <c r="V119" s="32"/>
      <c r="W119" s="32"/>
      <c r="X119" s="33"/>
    </row>
    <row r="120">
      <c r="A120" s="37"/>
      <c r="B120" s="32"/>
      <c r="C120" s="32"/>
      <c r="D120" s="32"/>
      <c r="E120" s="32"/>
      <c r="F120" s="32"/>
      <c r="G120" s="32"/>
      <c r="H120" s="32"/>
      <c r="I120" s="32"/>
      <c r="J120" s="32"/>
      <c r="K120" s="32"/>
      <c r="L120" s="32"/>
      <c r="M120" s="32"/>
      <c r="N120" s="32"/>
      <c r="O120" s="32"/>
      <c r="P120" s="32"/>
      <c r="Q120" s="32"/>
      <c r="R120" s="32"/>
      <c r="S120" s="32"/>
      <c r="T120" s="32"/>
      <c r="U120" s="32"/>
      <c r="V120" s="32"/>
      <c r="W120" s="32"/>
      <c r="X120" s="33"/>
    </row>
    <row r="121">
      <c r="A121" s="37"/>
      <c r="B121" s="32"/>
      <c r="C121" s="32"/>
      <c r="D121" s="32"/>
      <c r="E121" s="32"/>
      <c r="F121" s="32"/>
      <c r="G121" s="32"/>
      <c r="H121" s="32"/>
      <c r="I121" s="32"/>
      <c r="J121" s="32"/>
      <c r="K121" s="32"/>
      <c r="L121" s="32"/>
      <c r="M121" s="32"/>
      <c r="N121" s="32"/>
      <c r="O121" s="32"/>
      <c r="P121" s="32"/>
      <c r="Q121" s="32"/>
      <c r="R121" s="32"/>
      <c r="S121" s="32"/>
      <c r="T121" s="32"/>
      <c r="U121" s="32"/>
      <c r="V121" s="32"/>
      <c r="W121" s="32"/>
      <c r="X121" s="33"/>
    </row>
    <row r="122">
      <c r="A122" s="66"/>
      <c r="B122" s="28"/>
      <c r="C122" s="28"/>
      <c r="D122" s="28"/>
      <c r="E122" s="28"/>
      <c r="F122" s="28"/>
      <c r="G122" s="28"/>
      <c r="H122" s="28"/>
      <c r="I122" s="28"/>
      <c r="J122" s="28"/>
      <c r="K122" s="28"/>
      <c r="L122" s="28"/>
      <c r="M122" s="28"/>
      <c r="N122" s="28"/>
      <c r="O122" s="28"/>
      <c r="P122" s="28"/>
      <c r="Q122" s="28"/>
      <c r="R122" s="28"/>
      <c r="S122" s="28"/>
      <c r="T122" s="28"/>
      <c r="U122" s="28"/>
      <c r="V122" s="28"/>
      <c r="W122" s="28"/>
      <c r="X122" s="39"/>
    </row>
  </sheetData>
  <mergeCells count="43">
    <mergeCell ref="A1:C1"/>
    <mergeCell ref="F3:I3"/>
    <mergeCell ref="F4:I4"/>
    <mergeCell ref="K11:L11"/>
    <mergeCell ref="H12:I12"/>
    <mergeCell ref="K12:N12"/>
    <mergeCell ref="A14:B14"/>
    <mergeCell ref="D14:G14"/>
    <mergeCell ref="H14:I14"/>
    <mergeCell ref="A15:B15"/>
    <mergeCell ref="D15:G15"/>
    <mergeCell ref="D16:G16"/>
    <mergeCell ref="D17:G17"/>
    <mergeCell ref="H17:I17"/>
    <mergeCell ref="D23:G23"/>
    <mergeCell ref="D25:G25"/>
    <mergeCell ref="H25:I25"/>
    <mergeCell ref="D26:G26"/>
    <mergeCell ref="H26:I26"/>
    <mergeCell ref="D30:G30"/>
    <mergeCell ref="H30:I30"/>
    <mergeCell ref="D31:G31"/>
    <mergeCell ref="A16:B16"/>
    <mergeCell ref="A20:B20"/>
    <mergeCell ref="D20:G20"/>
    <mergeCell ref="H20:I20"/>
    <mergeCell ref="A21:B21"/>
    <mergeCell ref="D21:G21"/>
    <mergeCell ref="D22:G22"/>
    <mergeCell ref="A32:B32"/>
    <mergeCell ref="A35:B35"/>
    <mergeCell ref="D35:G35"/>
    <mergeCell ref="H35:I35"/>
    <mergeCell ref="A36:B36"/>
    <mergeCell ref="D36:G36"/>
    <mergeCell ref="A37:B37"/>
    <mergeCell ref="A22:B22"/>
    <mergeCell ref="A23:B23"/>
    <mergeCell ref="A25:B25"/>
    <mergeCell ref="A26:B26"/>
    <mergeCell ref="A27:B27"/>
    <mergeCell ref="A30:B30"/>
    <mergeCell ref="A31:B31"/>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8" width="19.38"/>
  </cols>
  <sheetData>
    <row r="1">
      <c r="A1" s="4" t="s">
        <v>0</v>
      </c>
      <c r="B1" s="5" t="s">
        <v>2</v>
      </c>
      <c r="C1" s="7" t="s">
        <v>3</v>
      </c>
      <c r="D1" s="7" t="s">
        <v>4</v>
      </c>
      <c r="E1" s="8" t="s">
        <v>5</v>
      </c>
      <c r="F1" s="7" t="s">
        <v>6</v>
      </c>
      <c r="G1" s="7" t="s">
        <v>7</v>
      </c>
      <c r="H1" s="10"/>
      <c r="I1" s="10"/>
      <c r="J1" s="10"/>
      <c r="K1" s="10"/>
      <c r="L1" s="10"/>
      <c r="M1" s="10"/>
      <c r="N1" s="10"/>
      <c r="O1" s="10"/>
      <c r="P1" s="10"/>
      <c r="Q1" s="10"/>
      <c r="R1" s="10"/>
      <c r="S1" s="10"/>
      <c r="T1" s="10"/>
      <c r="U1" s="10"/>
      <c r="V1" s="10"/>
      <c r="W1" s="10"/>
      <c r="X1" s="10"/>
    </row>
    <row r="2">
      <c r="A2" s="11"/>
      <c r="B2" s="13"/>
      <c r="C2" s="14"/>
      <c r="D2" s="14"/>
      <c r="E2" s="16"/>
      <c r="F2" s="14"/>
    </row>
    <row r="3">
      <c r="A3" s="18" t="s">
        <v>10</v>
      </c>
      <c r="B3" s="20" t="s">
        <v>11</v>
      </c>
      <c r="C3" s="22">
        <v>18.01528</v>
      </c>
      <c r="D3" s="24" t="s">
        <v>12</v>
      </c>
      <c r="E3" s="25"/>
      <c r="F3" s="26"/>
      <c r="G3" s="26" t="s">
        <v>12</v>
      </c>
    </row>
    <row r="4">
      <c r="A4" s="18" t="s">
        <v>14</v>
      </c>
      <c r="B4" s="29" t="s">
        <v>15</v>
      </c>
      <c r="C4" s="31">
        <v>100.0869</v>
      </c>
      <c r="D4" s="24">
        <f>$C$4/C4</f>
        <v>1</v>
      </c>
      <c r="E4" s="25"/>
      <c r="F4" s="26"/>
      <c r="G4" s="26">
        <v>0.0013</v>
      </c>
    </row>
    <row r="5">
      <c r="B5" s="45"/>
      <c r="C5" s="46"/>
      <c r="D5" s="48"/>
      <c r="E5" s="49"/>
      <c r="F5" s="48"/>
    </row>
    <row r="6">
      <c r="A6" s="51" t="s">
        <v>22</v>
      </c>
      <c r="B6" s="53"/>
      <c r="C6" s="54"/>
      <c r="D6" s="56"/>
      <c r="E6" s="57"/>
      <c r="F6" s="56"/>
      <c r="G6" s="56"/>
    </row>
    <row r="7">
      <c r="A7" s="59" t="s">
        <v>24</v>
      </c>
      <c r="B7" s="60" t="s">
        <v>25</v>
      </c>
      <c r="C7" s="61">
        <v>84.0066</v>
      </c>
      <c r="D7" s="67">
        <f t="shared" ref="D7:D8" si="1">$C$4/C7</f>
        <v>1.191417103</v>
      </c>
      <c r="E7" s="68">
        <v>0.726334</v>
      </c>
      <c r="F7" s="67">
        <f>Concentrates!C27*(Concentrates!$B$5/1000)*2/(D7*1000)</f>
        <v>23.98104619</v>
      </c>
      <c r="G7" s="67">
        <v>9.6</v>
      </c>
    </row>
    <row r="8">
      <c r="A8" s="59" t="s">
        <v>34</v>
      </c>
      <c r="B8" s="60" t="s">
        <v>35</v>
      </c>
      <c r="C8" s="61">
        <v>100.1151</v>
      </c>
      <c r="D8" s="67">
        <f t="shared" si="1"/>
        <v>0.9997183242</v>
      </c>
      <c r="E8" s="68">
        <v>0.609467</v>
      </c>
      <c r="F8" s="67">
        <f>Concentrates!C32*(Concentrates!$B$5/1000)*2/(D8*1000)</f>
        <v>28.57947872</v>
      </c>
      <c r="G8" s="67">
        <v>22.4</v>
      </c>
    </row>
    <row r="9">
      <c r="A9" s="11"/>
      <c r="B9" s="45"/>
      <c r="C9" s="46"/>
      <c r="D9" s="48"/>
      <c r="E9" s="49"/>
      <c r="F9" s="48"/>
      <c r="G9" s="48"/>
    </row>
    <row r="10">
      <c r="A10" s="84" t="s">
        <v>45</v>
      </c>
      <c r="B10" s="86"/>
      <c r="C10" s="87"/>
      <c r="D10" s="88"/>
      <c r="E10" s="89"/>
      <c r="F10" s="88"/>
      <c r="G10" s="88"/>
    </row>
    <row r="11">
      <c r="A11" s="90" t="s">
        <v>46</v>
      </c>
      <c r="B11" s="91" t="s">
        <v>47</v>
      </c>
      <c r="C11" s="92">
        <v>246.47</v>
      </c>
      <c r="D11" s="95">
        <f t="shared" ref="D11:D13" si="2">$C$4/C11</f>
        <v>0.4060814704</v>
      </c>
      <c r="E11" s="96">
        <v>0.0986</v>
      </c>
      <c r="F11" s="95">
        <f>Concentrates!C37*(Concentrates!$B$5/1000)/(D11*1000)</f>
        <v>35.17942908</v>
      </c>
      <c r="G11" s="95">
        <f>round(((C15+7*C3)/C15)*G15,4)</f>
        <v>71.8729</v>
      </c>
    </row>
    <row r="12">
      <c r="A12" s="90" t="s">
        <v>49</v>
      </c>
      <c r="B12" s="91" t="s">
        <v>50</v>
      </c>
      <c r="C12" s="92">
        <v>131.2416</v>
      </c>
      <c r="D12" s="95">
        <f t="shared" si="2"/>
        <v>0.7626156645</v>
      </c>
      <c r="E12" s="96">
        <v>0.18519300000000002</v>
      </c>
      <c r="F12" s="95">
        <f>Concentrates!C22*(Concentrates!$B$5/1000)/(D12*1000)</f>
        <v>18.73252144</v>
      </c>
      <c r="G12" s="95">
        <f>round(((C14+2*C3)/C14)*G14,4)</f>
        <v>74.8487</v>
      </c>
    </row>
    <row r="13">
      <c r="A13" s="90" t="s">
        <v>51</v>
      </c>
      <c r="B13" s="91" t="s">
        <v>52</v>
      </c>
      <c r="C13" s="92">
        <v>203.3027</v>
      </c>
      <c r="D13" s="95">
        <f t="shared" si="2"/>
        <v>0.4923048243</v>
      </c>
      <c r="E13" s="104">
        <v>0.119551</v>
      </c>
      <c r="F13" s="95">
        <f>Concentrates!C22*(Concentrates!$B$5/1000)/(D13*1000)</f>
        <v>29.01802619</v>
      </c>
      <c r="G13" s="95">
        <f>round(((C14+6*C3)/C14)*G14,4)</f>
        <v>115.946</v>
      </c>
    </row>
    <row r="14">
      <c r="A14" s="111" t="s">
        <v>53</v>
      </c>
      <c r="B14" s="112" t="s">
        <v>55</v>
      </c>
      <c r="C14" s="113">
        <v>95.211</v>
      </c>
      <c r="D14" s="114">
        <f>C4/C14</f>
        <v>1.05121152</v>
      </c>
      <c r="E14" s="115">
        <v>0.255275</v>
      </c>
      <c r="F14" s="117">
        <f>Concentrates!C22*(Concentrates!$B$5/1000)/(D14*1000)</f>
        <v>13.58976193</v>
      </c>
      <c r="G14" s="117">
        <v>54.3</v>
      </c>
    </row>
    <row r="15">
      <c r="A15" s="111" t="s">
        <v>56</v>
      </c>
      <c r="B15" s="112" t="s">
        <v>57</v>
      </c>
      <c r="C15" s="113">
        <v>120.37</v>
      </c>
      <c r="D15" s="114">
        <f>$C$4/C15</f>
        <v>0.8314937277</v>
      </c>
      <c r="E15" s="115">
        <v>0.20190000000000002</v>
      </c>
      <c r="F15" s="117"/>
      <c r="G15" s="117">
        <v>35.1</v>
      </c>
      <c r="H15" s="118"/>
      <c r="I15" s="118"/>
      <c r="J15" s="118"/>
      <c r="K15" s="118"/>
      <c r="L15" s="118"/>
      <c r="M15" s="118"/>
      <c r="N15" s="118"/>
      <c r="O15" s="118"/>
      <c r="P15" s="118"/>
      <c r="Q15" s="118"/>
      <c r="R15" s="118"/>
      <c r="S15" s="118"/>
      <c r="T15" s="118"/>
      <c r="U15" s="118"/>
      <c r="V15" s="118"/>
      <c r="W15" s="118"/>
      <c r="X15" s="118"/>
    </row>
    <row r="16">
      <c r="A16" s="11"/>
      <c r="B16" s="45"/>
      <c r="C16" s="46"/>
      <c r="D16" s="48"/>
      <c r="E16" s="49"/>
      <c r="F16" s="48"/>
      <c r="G16" s="48"/>
    </row>
    <row r="17">
      <c r="A17" s="119" t="s">
        <v>58</v>
      </c>
      <c r="B17" s="120"/>
      <c r="C17" s="121"/>
      <c r="D17" s="122"/>
      <c r="E17" s="123"/>
      <c r="F17" s="122"/>
      <c r="G17" s="122"/>
    </row>
    <row r="18">
      <c r="A18" s="124" t="s">
        <v>59</v>
      </c>
      <c r="B18" s="125" t="s">
        <v>60</v>
      </c>
      <c r="C18" s="126">
        <v>147.0146</v>
      </c>
      <c r="D18" s="127">
        <f t="shared" ref="D18:D20" si="3">$C$4/C18</f>
        <v>0.6807956489</v>
      </c>
      <c r="E18" s="128">
        <v>0.27261199999999997</v>
      </c>
      <c r="F18" s="127">
        <f>Concentrates!C16*(Concentrates!$B$5/1000)/(D18*1000)</f>
        <v>20.98385075</v>
      </c>
      <c r="G18" s="127">
        <f>round(((C21+2*C3)/C21)*G21,4)</f>
        <v>98.6862</v>
      </c>
    </row>
    <row r="19">
      <c r="A19" s="124" t="s">
        <v>61</v>
      </c>
      <c r="B19" s="125" t="s">
        <v>62</v>
      </c>
      <c r="C19" s="126">
        <v>172.1712</v>
      </c>
      <c r="D19" s="127">
        <f t="shared" si="3"/>
        <v>0.5813219633</v>
      </c>
      <c r="E19" s="131">
        <f>0.23278</f>
        <v>0.23278</v>
      </c>
      <c r="F19" s="127"/>
      <c r="G19" s="127">
        <v>0.26</v>
      </c>
    </row>
    <row r="20">
      <c r="A20" s="124" t="s">
        <v>63</v>
      </c>
      <c r="B20" s="125" t="s">
        <v>64</v>
      </c>
      <c r="C20" s="126">
        <v>74.0927</v>
      </c>
      <c r="D20" s="127">
        <f t="shared" si="3"/>
        <v>1.350833483</v>
      </c>
      <c r="E20" s="131">
        <v>0.540917</v>
      </c>
      <c r="F20" s="127"/>
      <c r="G20" s="127">
        <v>0.173</v>
      </c>
    </row>
    <row r="21">
      <c r="A21" s="111" t="s">
        <v>65</v>
      </c>
      <c r="B21" s="112" t="s">
        <v>38</v>
      </c>
      <c r="C21" s="117">
        <v>110.984</v>
      </c>
      <c r="D21" s="117">
        <f>C4/C21</f>
        <v>0.901813775</v>
      </c>
      <c r="E21" s="115">
        <v>0.361115</v>
      </c>
      <c r="F21" s="117">
        <f>Concentrates!C16*(Concentrates!$B$5/1000)/(D21*1000)</f>
        <v>15.84109123</v>
      </c>
      <c r="G21" s="117">
        <v>74.5</v>
      </c>
    </row>
    <row r="22">
      <c r="A22" s="111" t="s">
        <v>66</v>
      </c>
      <c r="B22" s="112" t="s">
        <v>67</v>
      </c>
      <c r="C22" s="117">
        <v>136.1406</v>
      </c>
      <c r="D22" s="117">
        <f>$C$4/C22</f>
        <v>0.735173049</v>
      </c>
      <c r="E22" s="115">
        <v>0.294387</v>
      </c>
      <c r="F22" s="117"/>
      <c r="G22" s="117"/>
    </row>
    <row r="23">
      <c r="A23" s="111" t="s">
        <v>68</v>
      </c>
      <c r="B23" s="136" t="s">
        <v>69</v>
      </c>
      <c r="C23" s="117"/>
      <c r="D23" s="117"/>
      <c r="E23" s="115">
        <f>Concentrates!B8/100</f>
        <v>1</v>
      </c>
      <c r="F23" s="117"/>
      <c r="G23" s="117"/>
    </row>
    <row r="24">
      <c r="B24" s="45"/>
      <c r="E24" s="139"/>
      <c r="F24" s="140"/>
      <c r="G24" s="48"/>
    </row>
    <row r="25">
      <c r="A25" s="141"/>
      <c r="B25" s="142"/>
      <c r="C25" s="140"/>
      <c r="D25" s="143"/>
      <c r="E25" s="49"/>
      <c r="F25" s="140"/>
      <c r="G25" s="48"/>
    </row>
    <row r="26">
      <c r="B26" s="13"/>
      <c r="C26" s="140"/>
      <c r="D26" s="143"/>
      <c r="E26" s="49"/>
      <c r="F26" s="144"/>
      <c r="G26" s="145"/>
    </row>
    <row r="27">
      <c r="A27" s="146"/>
      <c r="B27" s="13"/>
      <c r="C27" s="140"/>
      <c r="D27" s="143"/>
      <c r="G27" s="48"/>
    </row>
    <row r="28">
      <c r="A28" s="118"/>
      <c r="B28" s="45"/>
      <c r="C28" s="140"/>
      <c r="D28" s="143"/>
      <c r="G28" s="48"/>
    </row>
    <row r="29">
      <c r="A29" s="146"/>
      <c r="B29" s="13"/>
      <c r="C29" s="140"/>
      <c r="D29" s="143"/>
      <c r="G29" s="48"/>
    </row>
    <row r="30">
      <c r="A30" s="118"/>
      <c r="B30" s="45"/>
      <c r="C30" s="140"/>
      <c r="D30" s="143"/>
      <c r="G30" s="48"/>
    </row>
    <row r="31">
      <c r="A31" s="146"/>
      <c r="B31" s="13"/>
      <c r="C31" s="140"/>
      <c r="D31" s="143"/>
      <c r="G31" s="48"/>
    </row>
    <row r="32">
      <c r="B32" s="45"/>
      <c r="D32" s="143"/>
    </row>
    <row r="33">
      <c r="A33" s="146"/>
      <c r="B33" s="13"/>
      <c r="C33" s="140"/>
      <c r="D33" s="143"/>
      <c r="E33" s="147"/>
      <c r="F33" s="140"/>
      <c r="G33" s="48"/>
    </row>
    <row r="34">
      <c r="B34" s="45"/>
      <c r="C34" s="140"/>
      <c r="D34" s="143"/>
      <c r="E34" s="147"/>
      <c r="F34" s="143"/>
      <c r="G34" s="48"/>
    </row>
    <row r="35">
      <c r="B35" s="45"/>
      <c r="C35" s="140"/>
      <c r="D35" s="143"/>
      <c r="E35" s="147"/>
      <c r="F35" s="143"/>
      <c r="H35" s="148"/>
    </row>
    <row r="36">
      <c r="A36" s="146"/>
      <c r="B36" s="13"/>
      <c r="C36" s="143"/>
      <c r="D36" s="143"/>
      <c r="E36" s="147"/>
      <c r="F36" s="143"/>
      <c r="G36" s="48"/>
    </row>
    <row r="37">
      <c r="B37" s="45"/>
      <c r="C37" s="140"/>
      <c r="D37" s="143"/>
      <c r="E37" s="147"/>
      <c r="F37" s="143"/>
      <c r="G37" s="48"/>
    </row>
    <row r="38">
      <c r="B38" s="45"/>
      <c r="C38" s="140"/>
      <c r="D38" s="143"/>
      <c r="E38" s="147"/>
      <c r="F38" s="143"/>
      <c r="G38" s="48"/>
    </row>
    <row r="39">
      <c r="A39" s="146"/>
      <c r="B39" s="13"/>
      <c r="C39" s="140"/>
      <c r="D39" s="143"/>
      <c r="E39" s="147"/>
      <c r="F39" s="143"/>
      <c r="G39" s="48"/>
    </row>
    <row r="40">
      <c r="B40" s="13"/>
      <c r="C40" s="140"/>
      <c r="D40" s="143"/>
      <c r="E40" s="147"/>
      <c r="F40" s="143"/>
    </row>
    <row r="41">
      <c r="B41" s="45"/>
      <c r="D41" s="143"/>
      <c r="E41" s="139"/>
      <c r="F41" s="143"/>
    </row>
    <row r="42">
      <c r="A42" s="146"/>
      <c r="B42" s="13"/>
      <c r="C42" s="140"/>
      <c r="D42" s="143"/>
      <c r="E42" s="139"/>
      <c r="F42" s="143"/>
    </row>
    <row r="43">
      <c r="B43" s="45"/>
      <c r="E43" s="139"/>
      <c r="F43" s="143"/>
    </row>
    <row r="44">
      <c r="A44" s="146"/>
      <c r="B44" s="13"/>
      <c r="C44" s="140"/>
      <c r="D44" s="143"/>
      <c r="E44" s="49"/>
      <c r="F44" s="143"/>
    </row>
    <row r="45">
      <c r="B45" s="45"/>
      <c r="C45" s="140"/>
      <c r="D45" s="143"/>
      <c r="E45" s="49"/>
      <c r="F45" s="143"/>
    </row>
    <row r="46">
      <c r="B46" s="45"/>
      <c r="C46" s="140"/>
      <c r="D46" s="143"/>
      <c r="E46" s="49"/>
    </row>
    <row r="47">
      <c r="A47" s="146"/>
      <c r="B47" s="13"/>
      <c r="C47" s="140"/>
      <c r="D47" s="143"/>
      <c r="E47" s="139"/>
    </row>
    <row r="48">
      <c r="A48" s="146"/>
      <c r="B48" s="13"/>
      <c r="C48" s="140"/>
      <c r="D48" s="143"/>
      <c r="E48" s="139"/>
    </row>
    <row r="49">
      <c r="B49" s="13"/>
      <c r="C49" s="140"/>
      <c r="D49" s="143"/>
      <c r="E49" s="49"/>
    </row>
    <row r="50">
      <c r="B50" s="13"/>
      <c r="C50" s="140"/>
      <c r="D50" s="143"/>
      <c r="E50" s="49"/>
    </row>
    <row r="51">
      <c r="B51" s="45"/>
    </row>
    <row r="52">
      <c r="B52" s="45"/>
    </row>
    <row r="53">
      <c r="B53" s="45"/>
    </row>
    <row r="54">
      <c r="B54" s="45"/>
    </row>
    <row r="55">
      <c r="B55" s="45"/>
    </row>
    <row r="56">
      <c r="B56" s="45"/>
    </row>
    <row r="57">
      <c r="B57" s="45"/>
    </row>
    <row r="58">
      <c r="B58" s="45"/>
    </row>
    <row r="59">
      <c r="B59" s="45"/>
      <c r="E59" s="139"/>
    </row>
    <row r="60">
      <c r="B60" s="45"/>
      <c r="E60" s="139"/>
    </row>
    <row r="61">
      <c r="B61" s="45"/>
      <c r="E61" s="139"/>
    </row>
    <row r="62">
      <c r="B62" s="45"/>
      <c r="E62" s="139"/>
    </row>
    <row r="63">
      <c r="B63" s="45"/>
      <c r="E63" s="139"/>
    </row>
    <row r="64">
      <c r="B64" s="45"/>
      <c r="E64" s="139"/>
    </row>
    <row r="65">
      <c r="B65" s="45"/>
      <c r="E65" s="139"/>
    </row>
    <row r="66">
      <c r="B66" s="45"/>
      <c r="E66" s="139"/>
    </row>
    <row r="67">
      <c r="B67" s="45"/>
      <c r="E67" s="139"/>
    </row>
    <row r="68">
      <c r="B68" s="45"/>
      <c r="E68" s="139"/>
    </row>
    <row r="69">
      <c r="B69" s="45"/>
      <c r="E69" s="139"/>
    </row>
    <row r="70">
      <c r="B70" s="45"/>
      <c r="E70" s="139"/>
    </row>
    <row r="71">
      <c r="B71" s="45"/>
      <c r="E71" s="139"/>
    </row>
    <row r="72">
      <c r="B72" s="45"/>
      <c r="E72" s="139"/>
    </row>
    <row r="73">
      <c r="B73" s="45"/>
      <c r="E73" s="139"/>
    </row>
    <row r="74">
      <c r="B74" s="45"/>
      <c r="E74" s="139"/>
    </row>
    <row r="75">
      <c r="B75" s="45"/>
      <c r="E75" s="139"/>
    </row>
    <row r="76">
      <c r="B76" s="45"/>
      <c r="E76" s="139"/>
    </row>
    <row r="77">
      <c r="B77" s="45"/>
      <c r="E77" s="139"/>
    </row>
    <row r="78">
      <c r="B78" s="45"/>
      <c r="E78" s="139"/>
    </row>
    <row r="79">
      <c r="B79" s="45"/>
      <c r="E79" s="139"/>
    </row>
    <row r="80">
      <c r="B80" s="45"/>
      <c r="E80" s="139"/>
    </row>
    <row r="81">
      <c r="B81" s="45"/>
      <c r="E81" s="139"/>
    </row>
    <row r="82">
      <c r="B82" s="45"/>
      <c r="E82" s="139"/>
    </row>
    <row r="83">
      <c r="B83" s="45"/>
      <c r="E83" s="139"/>
    </row>
    <row r="84">
      <c r="B84" s="45"/>
      <c r="E84" s="139"/>
    </row>
    <row r="85">
      <c r="B85" s="45"/>
      <c r="E85" s="139"/>
    </row>
    <row r="86">
      <c r="B86" s="45"/>
      <c r="E86" s="139"/>
    </row>
    <row r="87">
      <c r="B87" s="45"/>
      <c r="E87" s="139"/>
    </row>
    <row r="88">
      <c r="B88" s="45"/>
      <c r="E88" s="139"/>
    </row>
    <row r="89">
      <c r="B89" s="45"/>
      <c r="E89" s="139"/>
    </row>
    <row r="90">
      <c r="B90" s="45"/>
      <c r="E90" s="139"/>
    </row>
    <row r="91">
      <c r="B91" s="45"/>
      <c r="E91" s="139"/>
    </row>
    <row r="92">
      <c r="B92" s="45"/>
      <c r="E92" s="139"/>
    </row>
    <row r="93">
      <c r="B93" s="45"/>
      <c r="E93" s="139"/>
    </row>
    <row r="94">
      <c r="B94" s="45"/>
      <c r="E94" s="139"/>
    </row>
    <row r="95">
      <c r="B95" s="45"/>
      <c r="E95" s="139"/>
    </row>
    <row r="96">
      <c r="B96" s="45"/>
      <c r="E96" s="139"/>
    </row>
    <row r="97">
      <c r="B97" s="45"/>
      <c r="E97" s="139"/>
    </row>
    <row r="98">
      <c r="B98" s="45"/>
      <c r="E98" s="139"/>
    </row>
    <row r="99">
      <c r="B99" s="45"/>
      <c r="E99" s="139"/>
    </row>
    <row r="100">
      <c r="B100" s="45"/>
      <c r="E100" s="139"/>
    </row>
    <row r="101">
      <c r="B101" s="45"/>
      <c r="E101" s="139"/>
    </row>
    <row r="102">
      <c r="B102" s="45"/>
      <c r="E102" s="139"/>
    </row>
    <row r="103">
      <c r="B103" s="45"/>
      <c r="E103" s="139"/>
    </row>
    <row r="104">
      <c r="B104" s="45"/>
      <c r="E104" s="139"/>
    </row>
    <row r="105">
      <c r="B105" s="45"/>
      <c r="E105" s="139"/>
    </row>
    <row r="106">
      <c r="B106" s="45"/>
      <c r="E106" s="139"/>
    </row>
    <row r="107">
      <c r="B107" s="45"/>
      <c r="E107" s="139"/>
    </row>
    <row r="108">
      <c r="B108" s="45"/>
      <c r="E108" s="139"/>
    </row>
    <row r="109">
      <c r="B109" s="45"/>
      <c r="E109" s="139"/>
    </row>
    <row r="110">
      <c r="B110" s="45"/>
      <c r="E110" s="139"/>
    </row>
    <row r="111">
      <c r="B111" s="45"/>
      <c r="E111" s="139"/>
    </row>
    <row r="112">
      <c r="B112" s="45"/>
      <c r="E112" s="139"/>
    </row>
    <row r="113">
      <c r="B113" s="45"/>
      <c r="E113" s="139"/>
    </row>
    <row r="114">
      <c r="B114" s="45"/>
      <c r="E114" s="139"/>
    </row>
    <row r="115">
      <c r="B115" s="45"/>
      <c r="E115" s="139"/>
    </row>
    <row r="116">
      <c r="B116" s="45"/>
      <c r="E116" s="139"/>
    </row>
    <row r="117">
      <c r="B117" s="45"/>
      <c r="E117" s="139"/>
    </row>
    <row r="118">
      <c r="B118" s="45"/>
      <c r="E118" s="139"/>
    </row>
    <row r="119">
      <c r="B119" s="45"/>
      <c r="E119" s="139"/>
    </row>
    <row r="120">
      <c r="B120" s="45"/>
      <c r="E120" s="139"/>
    </row>
    <row r="121">
      <c r="B121" s="45"/>
      <c r="E121" s="139"/>
    </row>
    <row r="122">
      <c r="B122" s="45"/>
      <c r="E122" s="139"/>
    </row>
    <row r="123">
      <c r="B123" s="45"/>
      <c r="E123" s="139"/>
    </row>
    <row r="124">
      <c r="B124" s="45"/>
      <c r="E124" s="139"/>
    </row>
    <row r="125">
      <c r="B125" s="45"/>
      <c r="E125" s="139"/>
    </row>
    <row r="126">
      <c r="B126" s="45"/>
      <c r="E126" s="139"/>
    </row>
    <row r="127">
      <c r="B127" s="45"/>
      <c r="E127" s="139"/>
    </row>
    <row r="128">
      <c r="B128" s="45"/>
      <c r="E128" s="139"/>
    </row>
    <row r="129">
      <c r="B129" s="45"/>
      <c r="E129" s="139"/>
    </row>
    <row r="130">
      <c r="B130" s="45"/>
      <c r="E130" s="139"/>
    </row>
    <row r="131">
      <c r="B131" s="45"/>
      <c r="E131" s="139"/>
    </row>
    <row r="132">
      <c r="B132" s="45"/>
      <c r="E132" s="139"/>
    </row>
    <row r="133">
      <c r="B133" s="45"/>
      <c r="E133" s="139"/>
    </row>
    <row r="134">
      <c r="B134" s="45"/>
      <c r="E134" s="139"/>
    </row>
    <row r="135">
      <c r="B135" s="45"/>
      <c r="E135" s="139"/>
    </row>
    <row r="136">
      <c r="B136" s="45"/>
      <c r="E136" s="139"/>
    </row>
    <row r="137">
      <c r="B137" s="45"/>
      <c r="E137" s="139"/>
    </row>
    <row r="138">
      <c r="B138" s="45"/>
      <c r="E138" s="139"/>
    </row>
    <row r="139">
      <c r="B139" s="45"/>
      <c r="E139" s="139"/>
    </row>
    <row r="140">
      <c r="B140" s="45"/>
      <c r="E140" s="139"/>
    </row>
    <row r="141">
      <c r="B141" s="45"/>
      <c r="E141" s="139"/>
    </row>
    <row r="142">
      <c r="B142" s="45"/>
      <c r="E142" s="139"/>
    </row>
    <row r="143">
      <c r="B143" s="45"/>
      <c r="E143" s="139"/>
    </row>
    <row r="144">
      <c r="B144" s="45"/>
      <c r="E144" s="139"/>
    </row>
    <row r="145">
      <c r="B145" s="45"/>
      <c r="E145" s="139"/>
    </row>
    <row r="146">
      <c r="B146" s="45"/>
      <c r="E146" s="139"/>
    </row>
    <row r="147">
      <c r="B147" s="45"/>
      <c r="E147" s="139"/>
    </row>
    <row r="148">
      <c r="B148" s="45"/>
      <c r="E148" s="139"/>
    </row>
    <row r="149">
      <c r="B149" s="45"/>
      <c r="E149" s="139"/>
    </row>
    <row r="150">
      <c r="B150" s="45"/>
      <c r="E150" s="139"/>
    </row>
    <row r="151">
      <c r="B151" s="45"/>
      <c r="E151" s="139"/>
    </row>
    <row r="152">
      <c r="B152" s="45"/>
      <c r="E152" s="139"/>
    </row>
    <row r="153">
      <c r="B153" s="45"/>
      <c r="E153" s="139"/>
    </row>
    <row r="154">
      <c r="B154" s="45"/>
      <c r="E154" s="139"/>
    </row>
    <row r="155">
      <c r="B155" s="45"/>
      <c r="E155" s="139"/>
    </row>
    <row r="156">
      <c r="B156" s="45"/>
      <c r="E156" s="139"/>
    </row>
    <row r="157">
      <c r="B157" s="45"/>
      <c r="E157" s="139"/>
    </row>
    <row r="158">
      <c r="B158" s="45"/>
      <c r="E158" s="139"/>
    </row>
    <row r="159">
      <c r="B159" s="45"/>
      <c r="E159" s="139"/>
    </row>
    <row r="160">
      <c r="B160" s="45"/>
      <c r="E160" s="139"/>
    </row>
    <row r="161">
      <c r="B161" s="45"/>
      <c r="E161" s="139"/>
    </row>
    <row r="162">
      <c r="B162" s="45"/>
      <c r="E162" s="139"/>
    </row>
    <row r="163">
      <c r="B163" s="45"/>
      <c r="E163" s="139"/>
    </row>
    <row r="164">
      <c r="B164" s="45"/>
      <c r="E164" s="139"/>
    </row>
    <row r="165">
      <c r="B165" s="45"/>
      <c r="E165" s="139"/>
    </row>
    <row r="166">
      <c r="B166" s="45"/>
      <c r="E166" s="139"/>
    </row>
    <row r="167">
      <c r="B167" s="45"/>
      <c r="E167" s="139"/>
    </row>
    <row r="168">
      <c r="B168" s="45"/>
      <c r="E168" s="139"/>
    </row>
    <row r="169">
      <c r="B169" s="45"/>
      <c r="E169" s="139"/>
    </row>
    <row r="170">
      <c r="B170" s="45"/>
      <c r="E170" s="139"/>
    </row>
    <row r="171">
      <c r="B171" s="45"/>
      <c r="E171" s="139"/>
    </row>
    <row r="172">
      <c r="B172" s="45"/>
      <c r="E172" s="139"/>
    </row>
    <row r="173">
      <c r="B173" s="45"/>
      <c r="E173" s="139"/>
    </row>
    <row r="174">
      <c r="B174" s="45"/>
      <c r="E174" s="139"/>
    </row>
    <row r="175">
      <c r="B175" s="45"/>
      <c r="E175" s="139"/>
    </row>
    <row r="176">
      <c r="B176" s="45"/>
      <c r="E176" s="139"/>
    </row>
    <row r="177">
      <c r="B177" s="45"/>
      <c r="E177" s="139"/>
    </row>
    <row r="178">
      <c r="B178" s="45"/>
      <c r="E178" s="139"/>
    </row>
    <row r="179">
      <c r="B179" s="45"/>
      <c r="E179" s="139"/>
    </row>
    <row r="180">
      <c r="B180" s="45"/>
      <c r="E180" s="139"/>
    </row>
    <row r="181">
      <c r="B181" s="45"/>
      <c r="E181" s="139"/>
    </row>
    <row r="182">
      <c r="B182" s="45"/>
      <c r="E182" s="139"/>
    </row>
    <row r="183">
      <c r="B183" s="45"/>
      <c r="E183" s="139"/>
    </row>
    <row r="184">
      <c r="B184" s="45"/>
      <c r="E184" s="139"/>
    </row>
    <row r="185">
      <c r="B185" s="45"/>
      <c r="E185" s="139"/>
    </row>
    <row r="186">
      <c r="B186" s="45"/>
      <c r="E186" s="139"/>
    </row>
    <row r="187">
      <c r="B187" s="45"/>
      <c r="E187" s="139"/>
    </row>
    <row r="188">
      <c r="B188" s="45"/>
      <c r="E188" s="139"/>
    </row>
    <row r="189">
      <c r="B189" s="45"/>
      <c r="E189" s="139"/>
    </row>
    <row r="190">
      <c r="B190" s="45"/>
      <c r="E190" s="139"/>
    </row>
    <row r="191">
      <c r="B191" s="45"/>
      <c r="E191" s="139"/>
    </row>
    <row r="192">
      <c r="B192" s="45"/>
      <c r="E192" s="139"/>
    </row>
    <row r="193">
      <c r="B193" s="45"/>
      <c r="E193" s="139"/>
    </row>
    <row r="194">
      <c r="B194" s="45"/>
      <c r="E194" s="139"/>
    </row>
    <row r="195">
      <c r="B195" s="45"/>
      <c r="E195" s="139"/>
    </row>
    <row r="196">
      <c r="B196" s="45"/>
      <c r="E196" s="139"/>
    </row>
    <row r="197">
      <c r="B197" s="45"/>
      <c r="E197" s="139"/>
    </row>
    <row r="198">
      <c r="B198" s="45"/>
      <c r="E198" s="139"/>
    </row>
    <row r="199">
      <c r="B199" s="45"/>
      <c r="E199" s="139"/>
    </row>
    <row r="200">
      <c r="B200" s="45"/>
      <c r="E200" s="139"/>
    </row>
    <row r="201">
      <c r="B201" s="45"/>
      <c r="E201" s="139"/>
    </row>
    <row r="202">
      <c r="B202" s="45"/>
      <c r="E202" s="139"/>
    </row>
    <row r="203">
      <c r="B203" s="45"/>
      <c r="E203" s="139"/>
    </row>
    <row r="204">
      <c r="B204" s="45"/>
      <c r="E204" s="139"/>
    </row>
    <row r="205">
      <c r="B205" s="45"/>
      <c r="E205" s="139"/>
    </row>
    <row r="206">
      <c r="B206" s="45"/>
      <c r="E206" s="139"/>
    </row>
    <row r="207">
      <c r="B207" s="45"/>
      <c r="E207" s="139"/>
    </row>
    <row r="208">
      <c r="B208" s="45"/>
      <c r="E208" s="139"/>
    </row>
    <row r="209">
      <c r="B209" s="45"/>
      <c r="E209" s="139"/>
    </row>
    <row r="210">
      <c r="B210" s="45"/>
      <c r="E210" s="139"/>
    </row>
    <row r="211">
      <c r="B211" s="45"/>
      <c r="E211" s="139"/>
    </row>
    <row r="212">
      <c r="B212" s="45"/>
      <c r="E212" s="139"/>
    </row>
    <row r="213">
      <c r="B213" s="45"/>
      <c r="E213" s="139"/>
    </row>
    <row r="214">
      <c r="B214" s="45"/>
      <c r="E214" s="139"/>
    </row>
    <row r="215">
      <c r="B215" s="45"/>
      <c r="E215" s="139"/>
    </row>
    <row r="216">
      <c r="B216" s="45"/>
      <c r="E216" s="139"/>
    </row>
    <row r="217">
      <c r="B217" s="45"/>
      <c r="E217" s="139"/>
    </row>
    <row r="218">
      <c r="B218" s="45"/>
      <c r="E218" s="139"/>
    </row>
    <row r="219">
      <c r="B219" s="45"/>
      <c r="E219" s="139"/>
    </row>
    <row r="220">
      <c r="B220" s="45"/>
      <c r="E220" s="139"/>
    </row>
    <row r="221">
      <c r="B221" s="45"/>
      <c r="E221" s="139"/>
    </row>
    <row r="222">
      <c r="B222" s="45"/>
      <c r="E222" s="139"/>
    </row>
    <row r="223">
      <c r="B223" s="45"/>
      <c r="E223" s="139"/>
    </row>
    <row r="224">
      <c r="B224" s="45"/>
      <c r="E224" s="139"/>
    </row>
    <row r="225">
      <c r="B225" s="45"/>
      <c r="E225" s="139"/>
    </row>
    <row r="226">
      <c r="B226" s="45"/>
      <c r="E226" s="139"/>
    </row>
    <row r="227">
      <c r="B227" s="45"/>
      <c r="E227" s="139"/>
    </row>
    <row r="228">
      <c r="B228" s="45"/>
      <c r="E228" s="139"/>
    </row>
    <row r="229">
      <c r="B229" s="45"/>
      <c r="E229" s="139"/>
    </row>
    <row r="230">
      <c r="B230" s="45"/>
      <c r="E230" s="139"/>
    </row>
    <row r="231">
      <c r="B231" s="45"/>
      <c r="E231" s="139"/>
    </row>
    <row r="232">
      <c r="B232" s="45"/>
      <c r="E232" s="139"/>
    </row>
    <row r="233">
      <c r="B233" s="45"/>
      <c r="E233" s="139"/>
    </row>
    <row r="234">
      <c r="B234" s="45"/>
      <c r="E234" s="139"/>
    </row>
    <row r="235">
      <c r="B235" s="45"/>
      <c r="E235" s="139"/>
    </row>
    <row r="236">
      <c r="B236" s="45"/>
      <c r="E236" s="139"/>
    </row>
    <row r="237">
      <c r="B237" s="45"/>
      <c r="E237" s="139"/>
    </row>
    <row r="238">
      <c r="B238" s="45"/>
      <c r="E238" s="139"/>
    </row>
    <row r="239">
      <c r="B239" s="45"/>
      <c r="E239" s="139"/>
    </row>
    <row r="240">
      <c r="B240" s="45"/>
      <c r="E240" s="139"/>
    </row>
    <row r="241">
      <c r="B241" s="45"/>
      <c r="E241" s="139"/>
    </row>
    <row r="242">
      <c r="B242" s="45"/>
      <c r="E242" s="139"/>
    </row>
    <row r="243">
      <c r="B243" s="45"/>
      <c r="E243" s="139"/>
    </row>
    <row r="244">
      <c r="B244" s="45"/>
      <c r="E244" s="139"/>
    </row>
    <row r="245">
      <c r="B245" s="45"/>
      <c r="E245" s="139"/>
    </row>
    <row r="246">
      <c r="B246" s="45"/>
      <c r="E246" s="139"/>
    </row>
    <row r="247">
      <c r="B247" s="45"/>
      <c r="E247" s="139"/>
    </row>
    <row r="248">
      <c r="B248" s="45"/>
      <c r="E248" s="139"/>
    </row>
    <row r="249">
      <c r="B249" s="45"/>
      <c r="E249" s="139"/>
    </row>
    <row r="250">
      <c r="B250" s="45"/>
      <c r="E250" s="139"/>
    </row>
    <row r="251">
      <c r="B251" s="45"/>
      <c r="E251" s="139"/>
    </row>
    <row r="252">
      <c r="B252" s="45"/>
      <c r="E252" s="139"/>
    </row>
    <row r="253">
      <c r="B253" s="45"/>
      <c r="E253" s="139"/>
    </row>
    <row r="254">
      <c r="B254" s="45"/>
      <c r="E254" s="139"/>
    </row>
    <row r="255">
      <c r="B255" s="45"/>
      <c r="E255" s="139"/>
    </row>
    <row r="256">
      <c r="B256" s="45"/>
      <c r="E256" s="139"/>
    </row>
    <row r="257">
      <c r="B257" s="45"/>
      <c r="E257" s="139"/>
    </row>
    <row r="258">
      <c r="B258" s="45"/>
      <c r="E258" s="139"/>
    </row>
    <row r="259">
      <c r="B259" s="45"/>
      <c r="E259" s="139"/>
    </row>
    <row r="260">
      <c r="B260" s="45"/>
      <c r="E260" s="139"/>
    </row>
    <row r="261">
      <c r="B261" s="45"/>
      <c r="E261" s="139"/>
    </row>
    <row r="262">
      <c r="B262" s="45"/>
      <c r="E262" s="139"/>
    </row>
    <row r="263">
      <c r="B263" s="45"/>
      <c r="E263" s="139"/>
    </row>
    <row r="264">
      <c r="B264" s="45"/>
      <c r="E264" s="139"/>
    </row>
    <row r="265">
      <c r="B265" s="45"/>
      <c r="E265" s="139"/>
    </row>
    <row r="266">
      <c r="B266" s="45"/>
      <c r="E266" s="139"/>
    </row>
    <row r="267">
      <c r="B267" s="45"/>
      <c r="E267" s="139"/>
    </row>
    <row r="268">
      <c r="B268" s="45"/>
      <c r="E268" s="139"/>
    </row>
    <row r="269">
      <c r="B269" s="45"/>
      <c r="E269" s="139"/>
    </row>
    <row r="270">
      <c r="B270" s="45"/>
      <c r="E270" s="139"/>
    </row>
    <row r="271">
      <c r="B271" s="45"/>
      <c r="E271" s="139"/>
    </row>
    <row r="272">
      <c r="B272" s="45"/>
      <c r="E272" s="139"/>
    </row>
    <row r="273">
      <c r="B273" s="45"/>
      <c r="E273" s="139"/>
    </row>
    <row r="274">
      <c r="B274" s="45"/>
      <c r="E274" s="139"/>
    </row>
    <row r="275">
      <c r="B275" s="45"/>
      <c r="E275" s="139"/>
    </row>
    <row r="276">
      <c r="B276" s="45"/>
      <c r="E276" s="139"/>
    </row>
    <row r="277">
      <c r="B277" s="45"/>
      <c r="E277" s="139"/>
    </row>
    <row r="278">
      <c r="B278" s="45"/>
      <c r="E278" s="139"/>
    </row>
    <row r="279">
      <c r="B279" s="45"/>
      <c r="E279" s="139"/>
    </row>
    <row r="280">
      <c r="B280" s="45"/>
      <c r="E280" s="139"/>
    </row>
    <row r="281">
      <c r="B281" s="45"/>
      <c r="E281" s="139"/>
    </row>
    <row r="282">
      <c r="B282" s="45"/>
      <c r="E282" s="139"/>
    </row>
    <row r="283">
      <c r="B283" s="45"/>
      <c r="E283" s="139"/>
    </row>
    <row r="284">
      <c r="B284" s="45"/>
      <c r="E284" s="139"/>
    </row>
    <row r="285">
      <c r="B285" s="45"/>
      <c r="E285" s="139"/>
    </row>
    <row r="286">
      <c r="B286" s="45"/>
      <c r="E286" s="139"/>
    </row>
    <row r="287">
      <c r="B287" s="45"/>
      <c r="E287" s="139"/>
    </row>
    <row r="288">
      <c r="B288" s="45"/>
      <c r="E288" s="139"/>
    </row>
    <row r="289">
      <c r="B289" s="45"/>
      <c r="E289" s="139"/>
    </row>
    <row r="290">
      <c r="B290" s="45"/>
      <c r="E290" s="139"/>
    </row>
    <row r="291">
      <c r="B291" s="45"/>
      <c r="E291" s="139"/>
    </row>
    <row r="292">
      <c r="B292" s="45"/>
      <c r="E292" s="139"/>
    </row>
    <row r="293">
      <c r="B293" s="45"/>
      <c r="E293" s="139"/>
    </row>
    <row r="294">
      <c r="B294" s="45"/>
      <c r="E294" s="139"/>
    </row>
    <row r="295">
      <c r="B295" s="45"/>
      <c r="E295" s="139"/>
    </row>
    <row r="296">
      <c r="B296" s="45"/>
      <c r="E296" s="139"/>
    </row>
    <row r="297">
      <c r="B297" s="45"/>
      <c r="E297" s="139"/>
    </row>
    <row r="298">
      <c r="B298" s="45"/>
      <c r="E298" s="139"/>
    </row>
    <row r="299">
      <c r="B299" s="45"/>
      <c r="E299" s="139"/>
    </row>
    <row r="300">
      <c r="B300" s="45"/>
      <c r="E300" s="139"/>
    </row>
    <row r="301">
      <c r="B301" s="45"/>
      <c r="E301" s="139"/>
    </row>
    <row r="302">
      <c r="B302" s="45"/>
      <c r="E302" s="139"/>
    </row>
    <row r="303">
      <c r="B303" s="45"/>
      <c r="E303" s="139"/>
    </row>
    <row r="304">
      <c r="B304" s="45"/>
      <c r="E304" s="139"/>
    </row>
    <row r="305">
      <c r="B305" s="45"/>
      <c r="E305" s="139"/>
    </row>
    <row r="306">
      <c r="B306" s="45"/>
      <c r="E306" s="139"/>
    </row>
    <row r="307">
      <c r="B307" s="45"/>
      <c r="E307" s="139"/>
    </row>
    <row r="308">
      <c r="B308" s="45"/>
      <c r="E308" s="139"/>
    </row>
    <row r="309">
      <c r="B309" s="45"/>
      <c r="E309" s="139"/>
    </row>
    <row r="310">
      <c r="B310" s="45"/>
      <c r="E310" s="139"/>
    </row>
    <row r="311">
      <c r="B311" s="45"/>
      <c r="E311" s="139"/>
    </row>
    <row r="312">
      <c r="B312" s="45"/>
      <c r="E312" s="139"/>
    </row>
    <row r="313">
      <c r="B313" s="45"/>
      <c r="E313" s="139"/>
    </row>
    <row r="314">
      <c r="B314" s="45"/>
      <c r="E314" s="139"/>
    </row>
    <row r="315">
      <c r="B315" s="45"/>
      <c r="E315" s="139"/>
    </row>
    <row r="316">
      <c r="B316" s="45"/>
      <c r="E316" s="139"/>
    </row>
    <row r="317">
      <c r="B317" s="45"/>
      <c r="E317" s="139"/>
    </row>
    <row r="318">
      <c r="B318" s="45"/>
      <c r="E318" s="139"/>
    </row>
    <row r="319">
      <c r="B319" s="45"/>
      <c r="E319" s="139"/>
    </row>
    <row r="320">
      <c r="B320" s="45"/>
      <c r="E320" s="139"/>
    </row>
    <row r="321">
      <c r="B321" s="45"/>
      <c r="E321" s="139"/>
    </row>
    <row r="322">
      <c r="B322" s="45"/>
      <c r="E322" s="139"/>
    </row>
    <row r="323">
      <c r="B323" s="45"/>
      <c r="E323" s="139"/>
    </row>
    <row r="324">
      <c r="B324" s="45"/>
      <c r="E324" s="139"/>
    </row>
    <row r="325">
      <c r="B325" s="45"/>
      <c r="E325" s="139"/>
    </row>
    <row r="326">
      <c r="B326" s="45"/>
      <c r="E326" s="139"/>
    </row>
    <row r="327">
      <c r="B327" s="45"/>
      <c r="E327" s="139"/>
    </row>
    <row r="328">
      <c r="B328" s="45"/>
      <c r="E328" s="139"/>
    </row>
    <row r="329">
      <c r="B329" s="45"/>
      <c r="E329" s="139"/>
    </row>
    <row r="330">
      <c r="B330" s="45"/>
      <c r="E330" s="139"/>
    </row>
    <row r="331">
      <c r="B331" s="45"/>
      <c r="E331" s="139"/>
    </row>
    <row r="332">
      <c r="B332" s="45"/>
      <c r="E332" s="139"/>
    </row>
    <row r="333">
      <c r="B333" s="45"/>
      <c r="E333" s="139"/>
    </row>
    <row r="334">
      <c r="B334" s="45"/>
      <c r="E334" s="139"/>
    </row>
    <row r="335">
      <c r="B335" s="45"/>
      <c r="E335" s="139"/>
    </row>
    <row r="336">
      <c r="B336" s="45"/>
      <c r="E336" s="139"/>
    </row>
    <row r="337">
      <c r="B337" s="45"/>
      <c r="E337" s="139"/>
    </row>
    <row r="338">
      <c r="B338" s="45"/>
      <c r="E338" s="139"/>
    </row>
    <row r="339">
      <c r="B339" s="45"/>
      <c r="E339" s="139"/>
    </row>
    <row r="340">
      <c r="B340" s="45"/>
      <c r="E340" s="139"/>
    </row>
    <row r="341">
      <c r="B341" s="45"/>
      <c r="E341" s="139"/>
    </row>
    <row r="342">
      <c r="B342" s="45"/>
      <c r="E342" s="139"/>
    </row>
    <row r="343">
      <c r="B343" s="45"/>
      <c r="E343" s="139"/>
    </row>
    <row r="344">
      <c r="B344" s="45"/>
      <c r="E344" s="139"/>
    </row>
    <row r="345">
      <c r="B345" s="45"/>
      <c r="E345" s="139"/>
    </row>
    <row r="346">
      <c r="B346" s="45"/>
      <c r="E346" s="139"/>
    </row>
    <row r="347">
      <c r="B347" s="45"/>
      <c r="E347" s="139"/>
    </row>
    <row r="348">
      <c r="B348" s="45"/>
      <c r="E348" s="139"/>
    </row>
    <row r="349">
      <c r="B349" s="45"/>
      <c r="E349" s="139"/>
    </row>
    <row r="350">
      <c r="B350" s="45"/>
      <c r="E350" s="139"/>
    </row>
    <row r="351">
      <c r="B351" s="45"/>
      <c r="E351" s="139"/>
    </row>
    <row r="352">
      <c r="B352" s="45"/>
      <c r="E352" s="139"/>
    </row>
    <row r="353">
      <c r="B353" s="45"/>
      <c r="E353" s="139"/>
    </row>
    <row r="354">
      <c r="B354" s="45"/>
      <c r="E354" s="139"/>
    </row>
    <row r="355">
      <c r="B355" s="45"/>
      <c r="E355" s="139"/>
    </row>
    <row r="356">
      <c r="B356" s="45"/>
      <c r="E356" s="139"/>
    </row>
    <row r="357">
      <c r="B357" s="45"/>
      <c r="E357" s="139"/>
    </row>
    <row r="358">
      <c r="B358" s="45"/>
      <c r="E358" s="139"/>
    </row>
    <row r="359">
      <c r="B359" s="45"/>
      <c r="E359" s="139"/>
    </row>
    <row r="360">
      <c r="B360" s="45"/>
      <c r="E360" s="139"/>
    </row>
    <row r="361">
      <c r="B361" s="45"/>
      <c r="E361" s="139"/>
    </row>
    <row r="362">
      <c r="B362" s="45"/>
      <c r="E362" s="139"/>
    </row>
    <row r="363">
      <c r="B363" s="45"/>
      <c r="E363" s="139"/>
    </row>
    <row r="364">
      <c r="B364" s="45"/>
      <c r="E364" s="139"/>
    </row>
    <row r="365">
      <c r="B365" s="45"/>
      <c r="E365" s="139"/>
    </row>
    <row r="366">
      <c r="B366" s="45"/>
      <c r="E366" s="139"/>
    </row>
    <row r="367">
      <c r="B367" s="45"/>
      <c r="E367" s="139"/>
    </row>
    <row r="368">
      <c r="B368" s="45"/>
      <c r="E368" s="139"/>
    </row>
    <row r="369">
      <c r="B369" s="45"/>
      <c r="E369" s="139"/>
    </row>
    <row r="370">
      <c r="B370" s="45"/>
      <c r="E370" s="139"/>
    </row>
    <row r="371">
      <c r="B371" s="45"/>
      <c r="E371" s="139"/>
    </row>
    <row r="372">
      <c r="B372" s="45"/>
      <c r="E372" s="139"/>
    </row>
    <row r="373">
      <c r="B373" s="45"/>
      <c r="E373" s="139"/>
    </row>
    <row r="374">
      <c r="B374" s="45"/>
      <c r="E374" s="139"/>
    </row>
    <row r="375">
      <c r="B375" s="45"/>
      <c r="E375" s="139"/>
    </row>
    <row r="376">
      <c r="B376" s="45"/>
      <c r="E376" s="139"/>
    </row>
    <row r="377">
      <c r="B377" s="45"/>
      <c r="E377" s="139"/>
    </row>
    <row r="378">
      <c r="B378" s="45"/>
      <c r="E378" s="139"/>
    </row>
    <row r="379">
      <c r="B379" s="45"/>
      <c r="E379" s="139"/>
    </row>
    <row r="380">
      <c r="B380" s="45"/>
      <c r="E380" s="139"/>
    </row>
    <row r="381">
      <c r="B381" s="45"/>
      <c r="E381" s="139"/>
    </row>
    <row r="382">
      <c r="B382" s="45"/>
      <c r="E382" s="139"/>
    </row>
    <row r="383">
      <c r="B383" s="45"/>
      <c r="E383" s="139"/>
    </row>
    <row r="384">
      <c r="B384" s="45"/>
      <c r="E384" s="139"/>
    </row>
    <row r="385">
      <c r="B385" s="45"/>
      <c r="E385" s="139"/>
    </row>
    <row r="386">
      <c r="B386" s="45"/>
      <c r="E386" s="139"/>
    </row>
    <row r="387">
      <c r="B387" s="45"/>
      <c r="E387" s="139"/>
    </row>
    <row r="388">
      <c r="B388" s="45"/>
      <c r="E388" s="139"/>
    </row>
    <row r="389">
      <c r="B389" s="45"/>
      <c r="E389" s="139"/>
    </row>
    <row r="390">
      <c r="B390" s="45"/>
      <c r="E390" s="139"/>
    </row>
    <row r="391">
      <c r="B391" s="45"/>
      <c r="E391" s="139"/>
    </row>
    <row r="392">
      <c r="B392" s="45"/>
      <c r="E392" s="139"/>
    </row>
    <row r="393">
      <c r="B393" s="45"/>
      <c r="E393" s="139"/>
    </row>
    <row r="394">
      <c r="B394" s="45"/>
      <c r="E394" s="139"/>
    </row>
    <row r="395">
      <c r="B395" s="45"/>
      <c r="E395" s="139"/>
    </row>
    <row r="396">
      <c r="B396" s="45"/>
      <c r="E396" s="139"/>
    </row>
    <row r="397">
      <c r="B397" s="45"/>
      <c r="E397" s="139"/>
    </row>
    <row r="398">
      <c r="B398" s="45"/>
      <c r="E398" s="139"/>
    </row>
    <row r="399">
      <c r="B399" s="45"/>
      <c r="E399" s="139"/>
    </row>
    <row r="400">
      <c r="B400" s="45"/>
      <c r="E400" s="139"/>
    </row>
    <row r="401">
      <c r="B401" s="45"/>
      <c r="E401" s="139"/>
    </row>
    <row r="402">
      <c r="B402" s="45"/>
      <c r="E402" s="139"/>
    </row>
    <row r="403">
      <c r="B403" s="45"/>
      <c r="E403" s="139"/>
    </row>
    <row r="404">
      <c r="B404" s="45"/>
      <c r="E404" s="139"/>
    </row>
    <row r="405">
      <c r="B405" s="45"/>
      <c r="E405" s="139"/>
    </row>
    <row r="406">
      <c r="B406" s="45"/>
      <c r="E406" s="139"/>
    </row>
    <row r="407">
      <c r="B407" s="45"/>
      <c r="E407" s="139"/>
    </row>
    <row r="408">
      <c r="B408" s="45"/>
      <c r="E408" s="139"/>
    </row>
    <row r="409">
      <c r="B409" s="45"/>
      <c r="E409" s="139"/>
    </row>
    <row r="410">
      <c r="B410" s="45"/>
      <c r="E410" s="139"/>
    </row>
    <row r="411">
      <c r="B411" s="45"/>
      <c r="E411" s="139"/>
    </row>
    <row r="412">
      <c r="B412" s="45"/>
      <c r="E412" s="139"/>
    </row>
    <row r="413">
      <c r="B413" s="45"/>
      <c r="E413" s="139"/>
    </row>
    <row r="414">
      <c r="B414" s="45"/>
      <c r="E414" s="139"/>
    </row>
    <row r="415">
      <c r="B415" s="45"/>
      <c r="E415" s="139"/>
    </row>
    <row r="416">
      <c r="B416" s="45"/>
      <c r="E416" s="139"/>
    </row>
    <row r="417">
      <c r="B417" s="45"/>
      <c r="E417" s="139"/>
    </row>
    <row r="418">
      <c r="B418" s="45"/>
      <c r="E418" s="139"/>
    </row>
    <row r="419">
      <c r="B419" s="45"/>
      <c r="E419" s="139"/>
    </row>
    <row r="420">
      <c r="B420" s="45"/>
      <c r="E420" s="139"/>
    </row>
    <row r="421">
      <c r="B421" s="45"/>
      <c r="E421" s="139"/>
    </row>
    <row r="422">
      <c r="B422" s="45"/>
      <c r="E422" s="139"/>
    </row>
    <row r="423">
      <c r="B423" s="45"/>
      <c r="E423" s="139"/>
    </row>
    <row r="424">
      <c r="B424" s="45"/>
      <c r="E424" s="139"/>
    </row>
    <row r="425">
      <c r="B425" s="45"/>
      <c r="E425" s="139"/>
    </row>
    <row r="426">
      <c r="B426" s="45"/>
      <c r="E426" s="139"/>
    </row>
    <row r="427">
      <c r="B427" s="45"/>
      <c r="E427" s="139"/>
    </row>
    <row r="428">
      <c r="B428" s="45"/>
      <c r="E428" s="139"/>
    </row>
    <row r="429">
      <c r="B429" s="45"/>
      <c r="E429" s="139"/>
    </row>
    <row r="430">
      <c r="B430" s="45"/>
      <c r="E430" s="139"/>
    </row>
    <row r="431">
      <c r="B431" s="45"/>
      <c r="E431" s="139"/>
    </row>
    <row r="432">
      <c r="B432" s="45"/>
      <c r="E432" s="139"/>
    </row>
    <row r="433">
      <c r="B433" s="45"/>
      <c r="E433" s="139"/>
    </row>
    <row r="434">
      <c r="B434" s="45"/>
      <c r="E434" s="139"/>
    </row>
    <row r="435">
      <c r="B435" s="45"/>
      <c r="E435" s="139"/>
    </row>
    <row r="436">
      <c r="B436" s="45"/>
      <c r="E436" s="139"/>
    </row>
    <row r="437">
      <c r="B437" s="45"/>
      <c r="E437" s="139"/>
    </row>
    <row r="438">
      <c r="B438" s="45"/>
      <c r="E438" s="139"/>
    </row>
    <row r="439">
      <c r="B439" s="45"/>
      <c r="E439" s="139"/>
    </row>
    <row r="440">
      <c r="B440" s="45"/>
      <c r="E440" s="139"/>
    </row>
    <row r="441">
      <c r="B441" s="45"/>
      <c r="E441" s="139"/>
    </row>
    <row r="442">
      <c r="B442" s="45"/>
      <c r="E442" s="139"/>
    </row>
    <row r="443">
      <c r="B443" s="45"/>
      <c r="E443" s="139"/>
    </row>
    <row r="444">
      <c r="B444" s="45"/>
      <c r="E444" s="139"/>
    </row>
    <row r="445">
      <c r="B445" s="45"/>
      <c r="E445" s="139"/>
    </row>
    <row r="446">
      <c r="B446" s="45"/>
      <c r="E446" s="139"/>
    </row>
    <row r="447">
      <c r="B447" s="45"/>
      <c r="E447" s="139"/>
    </row>
    <row r="448">
      <c r="B448" s="45"/>
      <c r="E448" s="139"/>
    </row>
    <row r="449">
      <c r="B449" s="45"/>
      <c r="E449" s="139"/>
    </row>
    <row r="450">
      <c r="B450" s="45"/>
      <c r="E450" s="139"/>
    </row>
    <row r="451">
      <c r="B451" s="45"/>
      <c r="E451" s="139"/>
    </row>
    <row r="452">
      <c r="B452" s="45"/>
      <c r="E452" s="139"/>
    </row>
    <row r="453">
      <c r="B453" s="45"/>
      <c r="E453" s="139"/>
    </row>
    <row r="454">
      <c r="B454" s="45"/>
      <c r="E454" s="139"/>
    </row>
    <row r="455">
      <c r="B455" s="45"/>
      <c r="E455" s="139"/>
    </row>
    <row r="456">
      <c r="B456" s="45"/>
      <c r="E456" s="139"/>
    </row>
    <row r="457">
      <c r="B457" s="45"/>
      <c r="E457" s="139"/>
    </row>
    <row r="458">
      <c r="B458" s="45"/>
      <c r="E458" s="139"/>
    </row>
    <row r="459">
      <c r="B459" s="45"/>
      <c r="E459" s="139"/>
    </row>
    <row r="460">
      <c r="B460" s="45"/>
      <c r="E460" s="139"/>
    </row>
    <row r="461">
      <c r="B461" s="45"/>
      <c r="E461" s="139"/>
    </row>
    <row r="462">
      <c r="B462" s="45"/>
      <c r="E462" s="139"/>
    </row>
    <row r="463">
      <c r="B463" s="45"/>
      <c r="E463" s="139"/>
    </row>
    <row r="464">
      <c r="B464" s="45"/>
      <c r="E464" s="139"/>
    </row>
    <row r="465">
      <c r="B465" s="45"/>
      <c r="E465" s="139"/>
    </row>
    <row r="466">
      <c r="B466" s="45"/>
      <c r="E466" s="139"/>
    </row>
    <row r="467">
      <c r="B467" s="45"/>
      <c r="E467" s="139"/>
    </row>
    <row r="468">
      <c r="B468" s="45"/>
      <c r="E468" s="139"/>
    </row>
    <row r="469">
      <c r="B469" s="45"/>
      <c r="E469" s="139"/>
    </row>
    <row r="470">
      <c r="B470" s="45"/>
      <c r="E470" s="139"/>
    </row>
    <row r="471">
      <c r="B471" s="45"/>
      <c r="E471" s="139"/>
    </row>
    <row r="472">
      <c r="B472" s="45"/>
      <c r="E472" s="139"/>
    </row>
    <row r="473">
      <c r="B473" s="45"/>
      <c r="E473" s="139"/>
    </row>
    <row r="474">
      <c r="B474" s="45"/>
      <c r="E474" s="139"/>
    </row>
    <row r="475">
      <c r="B475" s="45"/>
      <c r="E475" s="139"/>
    </row>
    <row r="476">
      <c r="B476" s="45"/>
      <c r="E476" s="139"/>
    </row>
    <row r="477">
      <c r="B477" s="45"/>
      <c r="E477" s="139"/>
    </row>
    <row r="478">
      <c r="B478" s="45"/>
      <c r="E478" s="139"/>
    </row>
    <row r="479">
      <c r="B479" s="45"/>
      <c r="E479" s="139"/>
    </row>
    <row r="480">
      <c r="B480" s="45"/>
      <c r="E480" s="139"/>
    </row>
    <row r="481">
      <c r="B481" s="45"/>
      <c r="E481" s="139"/>
    </row>
    <row r="482">
      <c r="B482" s="45"/>
      <c r="E482" s="139"/>
    </row>
    <row r="483">
      <c r="B483" s="45"/>
      <c r="E483" s="139"/>
    </row>
    <row r="484">
      <c r="B484" s="45"/>
      <c r="E484" s="139"/>
    </row>
    <row r="485">
      <c r="B485" s="45"/>
      <c r="E485" s="139"/>
    </row>
    <row r="486">
      <c r="B486" s="45"/>
      <c r="E486" s="139"/>
    </row>
    <row r="487">
      <c r="B487" s="45"/>
      <c r="E487" s="139"/>
    </row>
    <row r="488">
      <c r="B488" s="45"/>
      <c r="E488" s="139"/>
    </row>
    <row r="489">
      <c r="B489" s="45"/>
      <c r="E489" s="139"/>
    </row>
    <row r="490">
      <c r="B490" s="45"/>
      <c r="E490" s="139"/>
    </row>
    <row r="491">
      <c r="B491" s="45"/>
      <c r="E491" s="139"/>
    </row>
    <row r="492">
      <c r="B492" s="45"/>
      <c r="E492" s="139"/>
    </row>
    <row r="493">
      <c r="B493" s="45"/>
      <c r="E493" s="139"/>
    </row>
    <row r="494">
      <c r="B494" s="45"/>
      <c r="E494" s="139"/>
    </row>
    <row r="495">
      <c r="B495" s="45"/>
      <c r="E495" s="139"/>
    </row>
    <row r="496">
      <c r="B496" s="45"/>
      <c r="E496" s="139"/>
    </row>
    <row r="497">
      <c r="B497" s="45"/>
      <c r="E497" s="139"/>
    </row>
    <row r="498">
      <c r="B498" s="45"/>
      <c r="E498" s="139"/>
    </row>
    <row r="499">
      <c r="B499" s="45"/>
      <c r="E499" s="139"/>
    </row>
    <row r="500">
      <c r="B500" s="45"/>
      <c r="E500" s="139"/>
    </row>
    <row r="501">
      <c r="B501" s="45"/>
      <c r="E501" s="139"/>
    </row>
    <row r="502">
      <c r="B502" s="45"/>
      <c r="E502" s="139"/>
    </row>
    <row r="503">
      <c r="B503" s="45"/>
      <c r="E503" s="139"/>
    </row>
    <row r="504">
      <c r="B504" s="45"/>
      <c r="E504" s="139"/>
    </row>
    <row r="505">
      <c r="B505" s="45"/>
      <c r="E505" s="139"/>
    </row>
    <row r="506">
      <c r="B506" s="45"/>
      <c r="E506" s="139"/>
    </row>
    <row r="507">
      <c r="B507" s="45"/>
      <c r="E507" s="139"/>
    </row>
    <row r="508">
      <c r="B508" s="45"/>
      <c r="E508" s="139"/>
    </row>
    <row r="509">
      <c r="B509" s="45"/>
      <c r="E509" s="139"/>
    </row>
    <row r="510">
      <c r="B510" s="45"/>
      <c r="E510" s="139"/>
    </row>
    <row r="511">
      <c r="B511" s="45"/>
      <c r="E511" s="139"/>
    </row>
    <row r="512">
      <c r="B512" s="45"/>
      <c r="E512" s="139"/>
    </row>
    <row r="513">
      <c r="B513" s="45"/>
      <c r="E513" s="139"/>
    </row>
    <row r="514">
      <c r="B514" s="45"/>
      <c r="E514" s="139"/>
    </row>
    <row r="515">
      <c r="B515" s="45"/>
      <c r="E515" s="139"/>
    </row>
    <row r="516">
      <c r="B516" s="45"/>
      <c r="E516" s="139"/>
    </row>
    <row r="517">
      <c r="B517" s="45"/>
      <c r="E517" s="139"/>
    </row>
    <row r="518">
      <c r="B518" s="45"/>
      <c r="E518" s="139"/>
    </row>
    <row r="519">
      <c r="B519" s="45"/>
      <c r="E519" s="139"/>
    </row>
    <row r="520">
      <c r="B520" s="45"/>
      <c r="E520" s="139"/>
    </row>
    <row r="521">
      <c r="B521" s="45"/>
      <c r="E521" s="139"/>
    </row>
    <row r="522">
      <c r="B522" s="45"/>
      <c r="E522" s="139"/>
    </row>
    <row r="523">
      <c r="B523" s="45"/>
      <c r="E523" s="139"/>
    </row>
    <row r="524">
      <c r="B524" s="45"/>
      <c r="E524" s="139"/>
    </row>
    <row r="525">
      <c r="B525" s="45"/>
      <c r="E525" s="139"/>
    </row>
    <row r="526">
      <c r="B526" s="45"/>
      <c r="E526" s="139"/>
    </row>
    <row r="527">
      <c r="B527" s="45"/>
      <c r="E527" s="139"/>
    </row>
    <row r="528">
      <c r="B528" s="45"/>
      <c r="E528" s="139"/>
    </row>
    <row r="529">
      <c r="B529" s="45"/>
      <c r="E529" s="139"/>
    </row>
    <row r="530">
      <c r="B530" s="45"/>
      <c r="E530" s="139"/>
    </row>
    <row r="531">
      <c r="B531" s="45"/>
      <c r="E531" s="139"/>
    </row>
    <row r="532">
      <c r="B532" s="45"/>
      <c r="E532" s="139"/>
    </row>
    <row r="533">
      <c r="B533" s="45"/>
      <c r="E533" s="139"/>
    </row>
    <row r="534">
      <c r="B534" s="45"/>
      <c r="E534" s="139"/>
    </row>
    <row r="535">
      <c r="B535" s="45"/>
      <c r="E535" s="139"/>
    </row>
    <row r="536">
      <c r="B536" s="45"/>
      <c r="E536" s="139"/>
    </row>
    <row r="537">
      <c r="B537" s="45"/>
      <c r="E537" s="139"/>
    </row>
    <row r="538">
      <c r="B538" s="45"/>
      <c r="E538" s="139"/>
    </row>
    <row r="539">
      <c r="B539" s="45"/>
      <c r="E539" s="139"/>
    </row>
    <row r="540">
      <c r="B540" s="45"/>
      <c r="E540" s="139"/>
    </row>
    <row r="541">
      <c r="B541" s="45"/>
      <c r="E541" s="139"/>
    </row>
    <row r="542">
      <c r="B542" s="45"/>
      <c r="E542" s="139"/>
    </row>
    <row r="543">
      <c r="B543" s="45"/>
      <c r="E543" s="139"/>
    </row>
    <row r="544">
      <c r="B544" s="45"/>
      <c r="E544" s="139"/>
    </row>
    <row r="545">
      <c r="B545" s="45"/>
      <c r="E545" s="139"/>
    </row>
    <row r="546">
      <c r="B546" s="45"/>
      <c r="E546" s="139"/>
    </row>
    <row r="547">
      <c r="B547" s="45"/>
      <c r="E547" s="139"/>
    </row>
    <row r="548">
      <c r="B548" s="45"/>
      <c r="E548" s="139"/>
    </row>
    <row r="549">
      <c r="B549" s="45"/>
      <c r="E549" s="139"/>
    </row>
    <row r="550">
      <c r="B550" s="45"/>
      <c r="E550" s="139"/>
    </row>
    <row r="551">
      <c r="B551" s="45"/>
      <c r="E551" s="139"/>
    </row>
    <row r="552">
      <c r="B552" s="45"/>
      <c r="E552" s="139"/>
    </row>
    <row r="553">
      <c r="B553" s="45"/>
      <c r="E553" s="139"/>
    </row>
    <row r="554">
      <c r="B554" s="45"/>
      <c r="E554" s="139"/>
    </row>
    <row r="555">
      <c r="B555" s="45"/>
      <c r="E555" s="139"/>
    </row>
    <row r="556">
      <c r="B556" s="45"/>
      <c r="E556" s="139"/>
    </row>
    <row r="557">
      <c r="B557" s="45"/>
      <c r="E557" s="139"/>
    </row>
    <row r="558">
      <c r="B558" s="45"/>
      <c r="E558" s="139"/>
    </row>
    <row r="559">
      <c r="B559" s="45"/>
      <c r="E559" s="139"/>
    </row>
    <row r="560">
      <c r="B560" s="45"/>
      <c r="E560" s="139"/>
    </row>
    <row r="561">
      <c r="B561" s="45"/>
      <c r="E561" s="139"/>
    </row>
    <row r="562">
      <c r="B562" s="45"/>
      <c r="E562" s="139"/>
    </row>
    <row r="563">
      <c r="B563" s="45"/>
      <c r="E563" s="139"/>
    </row>
    <row r="564">
      <c r="B564" s="45"/>
      <c r="E564" s="139"/>
    </row>
    <row r="565">
      <c r="B565" s="45"/>
      <c r="E565" s="139"/>
    </row>
    <row r="566">
      <c r="B566" s="45"/>
      <c r="E566" s="139"/>
    </row>
    <row r="567">
      <c r="B567" s="45"/>
      <c r="E567" s="139"/>
    </row>
    <row r="568">
      <c r="B568" s="45"/>
      <c r="E568" s="139"/>
    </row>
    <row r="569">
      <c r="B569" s="45"/>
      <c r="E569" s="139"/>
    </row>
    <row r="570">
      <c r="B570" s="45"/>
      <c r="E570" s="139"/>
    </row>
    <row r="571">
      <c r="B571" s="45"/>
      <c r="E571" s="139"/>
    </row>
    <row r="572">
      <c r="B572" s="45"/>
      <c r="E572" s="139"/>
    </row>
    <row r="573">
      <c r="B573" s="45"/>
      <c r="E573" s="139"/>
    </row>
    <row r="574">
      <c r="B574" s="45"/>
      <c r="E574" s="139"/>
    </row>
    <row r="575">
      <c r="B575" s="45"/>
      <c r="E575" s="139"/>
    </row>
    <row r="576">
      <c r="B576" s="45"/>
      <c r="E576" s="139"/>
    </row>
    <row r="577">
      <c r="B577" s="45"/>
      <c r="E577" s="139"/>
    </row>
    <row r="578">
      <c r="B578" s="45"/>
      <c r="E578" s="139"/>
    </row>
    <row r="579">
      <c r="B579" s="45"/>
      <c r="E579" s="139"/>
    </row>
    <row r="580">
      <c r="B580" s="45"/>
      <c r="E580" s="139"/>
    </row>
    <row r="581">
      <c r="B581" s="45"/>
      <c r="E581" s="139"/>
    </row>
    <row r="582">
      <c r="B582" s="45"/>
      <c r="E582" s="139"/>
    </row>
    <row r="583">
      <c r="B583" s="45"/>
      <c r="E583" s="139"/>
    </row>
    <row r="584">
      <c r="B584" s="45"/>
      <c r="E584" s="139"/>
    </row>
    <row r="585">
      <c r="B585" s="45"/>
      <c r="E585" s="139"/>
    </row>
    <row r="586">
      <c r="B586" s="45"/>
      <c r="E586" s="139"/>
    </row>
    <row r="587">
      <c r="B587" s="45"/>
      <c r="E587" s="139"/>
    </row>
    <row r="588">
      <c r="B588" s="45"/>
      <c r="E588" s="139"/>
    </row>
    <row r="589">
      <c r="B589" s="45"/>
      <c r="E589" s="139"/>
    </row>
    <row r="590">
      <c r="B590" s="45"/>
      <c r="E590" s="139"/>
    </row>
    <row r="591">
      <c r="B591" s="45"/>
      <c r="E591" s="139"/>
    </row>
    <row r="592">
      <c r="B592" s="45"/>
      <c r="E592" s="139"/>
    </row>
    <row r="593">
      <c r="B593" s="45"/>
      <c r="E593" s="139"/>
    </row>
    <row r="594">
      <c r="B594" s="45"/>
      <c r="E594" s="139"/>
    </row>
    <row r="595">
      <c r="B595" s="45"/>
      <c r="E595" s="139"/>
    </row>
    <row r="596">
      <c r="B596" s="45"/>
      <c r="E596" s="139"/>
    </row>
    <row r="597">
      <c r="B597" s="45"/>
      <c r="E597" s="139"/>
    </row>
    <row r="598">
      <c r="B598" s="45"/>
      <c r="E598" s="139"/>
    </row>
    <row r="599">
      <c r="B599" s="45"/>
      <c r="E599" s="139"/>
    </row>
    <row r="600">
      <c r="B600" s="45"/>
      <c r="E600" s="139"/>
    </row>
    <row r="601">
      <c r="B601" s="45"/>
      <c r="E601" s="139"/>
    </row>
    <row r="602">
      <c r="B602" s="45"/>
      <c r="E602" s="139"/>
    </row>
    <row r="603">
      <c r="B603" s="45"/>
      <c r="E603" s="139"/>
    </row>
    <row r="604">
      <c r="B604" s="45"/>
      <c r="E604" s="139"/>
    </row>
    <row r="605">
      <c r="B605" s="45"/>
      <c r="E605" s="139"/>
    </row>
    <row r="606">
      <c r="B606" s="45"/>
      <c r="E606" s="139"/>
    </row>
    <row r="607">
      <c r="B607" s="45"/>
      <c r="E607" s="139"/>
    </row>
    <row r="608">
      <c r="B608" s="45"/>
      <c r="E608" s="139"/>
    </row>
    <row r="609">
      <c r="B609" s="45"/>
      <c r="E609" s="139"/>
    </row>
    <row r="610">
      <c r="B610" s="45"/>
      <c r="E610" s="139"/>
    </row>
    <row r="611">
      <c r="B611" s="45"/>
      <c r="E611" s="139"/>
    </row>
    <row r="612">
      <c r="B612" s="45"/>
      <c r="E612" s="139"/>
    </row>
    <row r="613">
      <c r="B613" s="45"/>
      <c r="E613" s="139"/>
    </row>
    <row r="614">
      <c r="B614" s="45"/>
      <c r="E614" s="139"/>
    </row>
    <row r="615">
      <c r="B615" s="45"/>
      <c r="E615" s="139"/>
    </row>
    <row r="616">
      <c r="B616" s="45"/>
      <c r="E616" s="139"/>
    </row>
    <row r="617">
      <c r="B617" s="45"/>
      <c r="E617" s="139"/>
    </row>
    <row r="618">
      <c r="B618" s="45"/>
      <c r="E618" s="139"/>
    </row>
    <row r="619">
      <c r="B619" s="45"/>
      <c r="E619" s="139"/>
    </row>
    <row r="620">
      <c r="B620" s="45"/>
      <c r="E620" s="139"/>
    </row>
    <row r="621">
      <c r="B621" s="45"/>
      <c r="E621" s="139"/>
    </row>
    <row r="622">
      <c r="B622" s="45"/>
      <c r="E622" s="139"/>
    </row>
    <row r="623">
      <c r="B623" s="45"/>
      <c r="E623" s="139"/>
    </row>
    <row r="624">
      <c r="B624" s="45"/>
      <c r="E624" s="139"/>
    </row>
    <row r="625">
      <c r="B625" s="45"/>
      <c r="E625" s="139"/>
    </row>
    <row r="626">
      <c r="B626" s="45"/>
      <c r="E626" s="139"/>
    </row>
    <row r="627">
      <c r="B627" s="45"/>
      <c r="E627" s="139"/>
    </row>
    <row r="628">
      <c r="B628" s="45"/>
      <c r="E628" s="139"/>
    </row>
    <row r="629">
      <c r="B629" s="45"/>
      <c r="E629" s="139"/>
    </row>
    <row r="630">
      <c r="B630" s="45"/>
      <c r="E630" s="139"/>
    </row>
    <row r="631">
      <c r="B631" s="45"/>
      <c r="E631" s="139"/>
    </row>
    <row r="632">
      <c r="B632" s="45"/>
      <c r="E632" s="139"/>
    </row>
    <row r="633">
      <c r="B633" s="45"/>
      <c r="E633" s="139"/>
    </row>
    <row r="634">
      <c r="B634" s="45"/>
      <c r="E634" s="139"/>
    </row>
    <row r="635">
      <c r="B635" s="45"/>
      <c r="E635" s="139"/>
    </row>
    <row r="636">
      <c r="B636" s="45"/>
      <c r="E636" s="139"/>
    </row>
    <row r="637">
      <c r="B637" s="45"/>
      <c r="E637" s="139"/>
    </row>
    <row r="638">
      <c r="B638" s="45"/>
      <c r="E638" s="139"/>
    </row>
    <row r="639">
      <c r="B639" s="45"/>
      <c r="E639" s="139"/>
    </row>
    <row r="640">
      <c r="B640" s="45"/>
      <c r="E640" s="139"/>
    </row>
    <row r="641">
      <c r="B641" s="45"/>
      <c r="E641" s="139"/>
    </row>
    <row r="642">
      <c r="B642" s="45"/>
      <c r="E642" s="139"/>
    </row>
    <row r="643">
      <c r="B643" s="45"/>
      <c r="E643" s="139"/>
    </row>
    <row r="644">
      <c r="B644" s="45"/>
      <c r="E644" s="139"/>
    </row>
    <row r="645">
      <c r="B645" s="45"/>
      <c r="E645" s="139"/>
    </row>
    <row r="646">
      <c r="B646" s="45"/>
      <c r="E646" s="139"/>
    </row>
    <row r="647">
      <c r="B647" s="45"/>
      <c r="E647" s="139"/>
    </row>
    <row r="648">
      <c r="B648" s="45"/>
      <c r="E648" s="139"/>
    </row>
    <row r="649">
      <c r="B649" s="45"/>
      <c r="E649" s="139"/>
    </row>
    <row r="650">
      <c r="B650" s="45"/>
      <c r="E650" s="139"/>
    </row>
    <row r="651">
      <c r="B651" s="45"/>
      <c r="E651" s="139"/>
    </row>
    <row r="652">
      <c r="B652" s="45"/>
      <c r="E652" s="139"/>
    </row>
    <row r="653">
      <c r="B653" s="45"/>
      <c r="E653" s="139"/>
    </row>
    <row r="654">
      <c r="B654" s="45"/>
      <c r="E654" s="139"/>
    </row>
    <row r="655">
      <c r="B655" s="45"/>
      <c r="E655" s="139"/>
    </row>
    <row r="656">
      <c r="B656" s="45"/>
      <c r="E656" s="139"/>
    </row>
    <row r="657">
      <c r="B657" s="45"/>
      <c r="E657" s="139"/>
    </row>
    <row r="658">
      <c r="B658" s="45"/>
      <c r="E658" s="139"/>
    </row>
    <row r="659">
      <c r="B659" s="45"/>
      <c r="E659" s="139"/>
    </row>
    <row r="660">
      <c r="B660" s="45"/>
      <c r="E660" s="139"/>
    </row>
    <row r="661">
      <c r="B661" s="45"/>
      <c r="E661" s="139"/>
    </row>
    <row r="662">
      <c r="B662" s="45"/>
      <c r="E662" s="139"/>
    </row>
    <row r="663">
      <c r="B663" s="45"/>
      <c r="E663" s="139"/>
    </row>
    <row r="664">
      <c r="B664" s="45"/>
      <c r="E664" s="139"/>
    </row>
    <row r="665">
      <c r="B665" s="45"/>
      <c r="E665" s="139"/>
    </row>
    <row r="666">
      <c r="B666" s="45"/>
      <c r="E666" s="139"/>
    </row>
    <row r="667">
      <c r="B667" s="45"/>
      <c r="E667" s="139"/>
    </row>
    <row r="668">
      <c r="B668" s="45"/>
      <c r="E668" s="139"/>
    </row>
    <row r="669">
      <c r="B669" s="45"/>
      <c r="E669" s="139"/>
    </row>
    <row r="670">
      <c r="B670" s="45"/>
      <c r="E670" s="139"/>
    </row>
    <row r="671">
      <c r="B671" s="45"/>
      <c r="E671" s="139"/>
    </row>
    <row r="672">
      <c r="B672" s="45"/>
      <c r="E672" s="139"/>
    </row>
    <row r="673">
      <c r="B673" s="45"/>
      <c r="E673" s="139"/>
    </row>
    <row r="674">
      <c r="B674" s="45"/>
      <c r="E674" s="139"/>
    </row>
    <row r="675">
      <c r="B675" s="45"/>
      <c r="E675" s="139"/>
    </row>
    <row r="676">
      <c r="B676" s="45"/>
      <c r="E676" s="139"/>
    </row>
    <row r="677">
      <c r="B677" s="45"/>
      <c r="E677" s="139"/>
    </row>
    <row r="678">
      <c r="B678" s="45"/>
      <c r="E678" s="139"/>
    </row>
    <row r="679">
      <c r="B679" s="45"/>
      <c r="E679" s="139"/>
    </row>
    <row r="680">
      <c r="B680" s="45"/>
      <c r="E680" s="139"/>
    </row>
    <row r="681">
      <c r="B681" s="45"/>
      <c r="E681" s="139"/>
    </row>
    <row r="682">
      <c r="B682" s="45"/>
      <c r="E682" s="139"/>
    </row>
    <row r="683">
      <c r="B683" s="45"/>
      <c r="E683" s="139"/>
    </row>
    <row r="684">
      <c r="B684" s="45"/>
      <c r="E684" s="139"/>
    </row>
    <row r="685">
      <c r="B685" s="45"/>
      <c r="E685" s="139"/>
    </row>
    <row r="686">
      <c r="B686" s="45"/>
      <c r="E686" s="139"/>
    </row>
    <row r="687">
      <c r="B687" s="45"/>
      <c r="E687" s="139"/>
    </row>
    <row r="688">
      <c r="B688" s="45"/>
      <c r="E688" s="139"/>
    </row>
    <row r="689">
      <c r="B689" s="45"/>
      <c r="E689" s="139"/>
    </row>
    <row r="690">
      <c r="B690" s="45"/>
      <c r="E690" s="139"/>
    </row>
    <row r="691">
      <c r="B691" s="45"/>
      <c r="E691" s="139"/>
    </row>
    <row r="692">
      <c r="B692" s="45"/>
      <c r="E692" s="139"/>
    </row>
    <row r="693">
      <c r="B693" s="45"/>
      <c r="E693" s="139"/>
    </row>
    <row r="694">
      <c r="B694" s="45"/>
      <c r="E694" s="139"/>
    </row>
    <row r="695">
      <c r="B695" s="45"/>
      <c r="E695" s="139"/>
    </row>
    <row r="696">
      <c r="B696" s="45"/>
      <c r="E696" s="139"/>
    </row>
    <row r="697">
      <c r="B697" s="45"/>
      <c r="E697" s="139"/>
    </row>
    <row r="698">
      <c r="B698" s="45"/>
      <c r="E698" s="139"/>
    </row>
    <row r="699">
      <c r="B699" s="45"/>
      <c r="E699" s="139"/>
    </row>
    <row r="700">
      <c r="B700" s="45"/>
      <c r="E700" s="139"/>
    </row>
    <row r="701">
      <c r="B701" s="45"/>
      <c r="E701" s="139"/>
    </row>
    <row r="702">
      <c r="B702" s="45"/>
      <c r="E702" s="139"/>
    </row>
    <row r="703">
      <c r="B703" s="45"/>
      <c r="E703" s="139"/>
    </row>
    <row r="704">
      <c r="B704" s="45"/>
      <c r="E704" s="139"/>
    </row>
    <row r="705">
      <c r="B705" s="45"/>
      <c r="E705" s="139"/>
    </row>
    <row r="706">
      <c r="B706" s="45"/>
      <c r="E706" s="139"/>
    </row>
    <row r="707">
      <c r="B707" s="45"/>
      <c r="E707" s="139"/>
    </row>
    <row r="708">
      <c r="B708" s="45"/>
      <c r="E708" s="139"/>
    </row>
    <row r="709">
      <c r="B709" s="45"/>
      <c r="E709" s="139"/>
    </row>
    <row r="710">
      <c r="B710" s="45"/>
      <c r="E710" s="139"/>
    </row>
    <row r="711">
      <c r="B711" s="45"/>
      <c r="E711" s="139"/>
    </row>
    <row r="712">
      <c r="B712" s="45"/>
      <c r="E712" s="139"/>
    </row>
    <row r="713">
      <c r="B713" s="45"/>
      <c r="E713" s="139"/>
    </row>
    <row r="714">
      <c r="B714" s="45"/>
      <c r="E714" s="139"/>
    </row>
    <row r="715">
      <c r="B715" s="45"/>
      <c r="E715" s="139"/>
    </row>
    <row r="716">
      <c r="B716" s="45"/>
      <c r="E716" s="139"/>
    </row>
    <row r="717">
      <c r="B717" s="45"/>
      <c r="E717" s="139"/>
    </row>
    <row r="718">
      <c r="B718" s="45"/>
      <c r="E718" s="139"/>
    </row>
    <row r="719">
      <c r="B719" s="45"/>
      <c r="E719" s="139"/>
    </row>
    <row r="720">
      <c r="B720" s="45"/>
      <c r="E720" s="139"/>
    </row>
    <row r="721">
      <c r="B721" s="45"/>
      <c r="E721" s="139"/>
    </row>
    <row r="722">
      <c r="B722" s="45"/>
      <c r="E722" s="139"/>
    </row>
    <row r="723">
      <c r="B723" s="45"/>
      <c r="E723" s="139"/>
    </row>
    <row r="724">
      <c r="B724" s="45"/>
      <c r="E724" s="139"/>
    </row>
    <row r="725">
      <c r="B725" s="45"/>
      <c r="E725" s="139"/>
    </row>
    <row r="726">
      <c r="B726" s="45"/>
      <c r="E726" s="139"/>
    </row>
    <row r="727">
      <c r="B727" s="45"/>
      <c r="E727" s="139"/>
    </row>
    <row r="728">
      <c r="B728" s="45"/>
      <c r="E728" s="139"/>
    </row>
    <row r="729">
      <c r="B729" s="45"/>
      <c r="E729" s="139"/>
    </row>
    <row r="730">
      <c r="B730" s="45"/>
      <c r="E730" s="139"/>
    </row>
    <row r="731">
      <c r="B731" s="45"/>
      <c r="E731" s="139"/>
    </row>
    <row r="732">
      <c r="B732" s="45"/>
      <c r="E732" s="139"/>
    </row>
    <row r="733">
      <c r="B733" s="45"/>
      <c r="E733" s="139"/>
    </row>
    <row r="734">
      <c r="B734" s="45"/>
      <c r="E734" s="139"/>
    </row>
    <row r="735">
      <c r="B735" s="45"/>
      <c r="E735" s="139"/>
    </row>
    <row r="736">
      <c r="B736" s="45"/>
      <c r="E736" s="139"/>
    </row>
    <row r="737">
      <c r="B737" s="45"/>
      <c r="E737" s="139"/>
    </row>
    <row r="738">
      <c r="B738" s="45"/>
      <c r="E738" s="139"/>
    </row>
    <row r="739">
      <c r="B739" s="45"/>
      <c r="E739" s="139"/>
    </row>
    <row r="740">
      <c r="B740" s="45"/>
      <c r="E740" s="139"/>
    </row>
    <row r="741">
      <c r="B741" s="45"/>
      <c r="E741" s="139"/>
    </row>
    <row r="742">
      <c r="B742" s="45"/>
      <c r="E742" s="139"/>
    </row>
    <row r="743">
      <c r="B743" s="45"/>
      <c r="E743" s="139"/>
    </row>
    <row r="744">
      <c r="B744" s="45"/>
      <c r="E744" s="139"/>
    </row>
    <row r="745">
      <c r="B745" s="45"/>
      <c r="E745" s="139"/>
    </row>
    <row r="746">
      <c r="B746" s="45"/>
      <c r="E746" s="139"/>
    </row>
    <row r="747">
      <c r="B747" s="45"/>
      <c r="E747" s="139"/>
    </row>
    <row r="748">
      <c r="B748" s="45"/>
      <c r="E748" s="139"/>
    </row>
    <row r="749">
      <c r="B749" s="45"/>
      <c r="E749" s="139"/>
    </row>
    <row r="750">
      <c r="B750" s="45"/>
      <c r="E750" s="139"/>
    </row>
    <row r="751">
      <c r="B751" s="45"/>
      <c r="E751" s="139"/>
    </row>
    <row r="752">
      <c r="B752" s="45"/>
      <c r="E752" s="139"/>
    </row>
    <row r="753">
      <c r="B753" s="45"/>
      <c r="E753" s="139"/>
    </row>
    <row r="754">
      <c r="B754" s="45"/>
      <c r="E754" s="139"/>
    </row>
    <row r="755">
      <c r="B755" s="45"/>
      <c r="E755" s="139"/>
    </row>
    <row r="756">
      <c r="B756" s="45"/>
      <c r="E756" s="139"/>
    </row>
    <row r="757">
      <c r="B757" s="45"/>
      <c r="E757" s="139"/>
    </row>
    <row r="758">
      <c r="B758" s="45"/>
      <c r="E758" s="139"/>
    </row>
    <row r="759">
      <c r="B759" s="45"/>
      <c r="E759" s="139"/>
    </row>
    <row r="760">
      <c r="B760" s="45"/>
      <c r="E760" s="139"/>
    </row>
    <row r="761">
      <c r="B761" s="45"/>
      <c r="E761" s="139"/>
    </row>
    <row r="762">
      <c r="B762" s="45"/>
      <c r="E762" s="139"/>
    </row>
    <row r="763">
      <c r="B763" s="45"/>
      <c r="E763" s="139"/>
    </row>
    <row r="764">
      <c r="B764" s="45"/>
      <c r="E764" s="139"/>
    </row>
    <row r="765">
      <c r="B765" s="45"/>
      <c r="E765" s="139"/>
    </row>
    <row r="766">
      <c r="B766" s="45"/>
      <c r="E766" s="139"/>
    </row>
    <row r="767">
      <c r="B767" s="45"/>
      <c r="E767" s="139"/>
    </row>
    <row r="768">
      <c r="B768" s="45"/>
      <c r="E768" s="139"/>
    </row>
    <row r="769">
      <c r="B769" s="45"/>
      <c r="E769" s="139"/>
    </row>
    <row r="770">
      <c r="B770" s="45"/>
      <c r="E770" s="139"/>
    </row>
    <row r="771">
      <c r="B771" s="45"/>
      <c r="E771" s="139"/>
    </row>
    <row r="772">
      <c r="B772" s="45"/>
      <c r="E772" s="139"/>
    </row>
    <row r="773">
      <c r="B773" s="45"/>
      <c r="E773" s="139"/>
    </row>
    <row r="774">
      <c r="B774" s="45"/>
      <c r="E774" s="139"/>
    </row>
    <row r="775">
      <c r="B775" s="45"/>
      <c r="E775" s="139"/>
    </row>
    <row r="776">
      <c r="B776" s="45"/>
      <c r="E776" s="139"/>
    </row>
    <row r="777">
      <c r="B777" s="45"/>
      <c r="E777" s="139"/>
    </row>
    <row r="778">
      <c r="B778" s="45"/>
      <c r="E778" s="139"/>
    </row>
    <row r="779">
      <c r="B779" s="45"/>
      <c r="E779" s="139"/>
    </row>
    <row r="780">
      <c r="B780" s="45"/>
      <c r="E780" s="139"/>
    </row>
    <row r="781">
      <c r="B781" s="45"/>
      <c r="E781" s="139"/>
    </row>
    <row r="782">
      <c r="B782" s="45"/>
      <c r="E782" s="139"/>
    </row>
    <row r="783">
      <c r="B783" s="45"/>
      <c r="E783" s="139"/>
    </row>
    <row r="784">
      <c r="B784" s="45"/>
      <c r="E784" s="139"/>
    </row>
    <row r="785">
      <c r="B785" s="45"/>
      <c r="E785" s="139"/>
    </row>
    <row r="786">
      <c r="B786" s="45"/>
      <c r="E786" s="139"/>
    </row>
    <row r="787">
      <c r="B787" s="45"/>
      <c r="E787" s="139"/>
    </row>
    <row r="788">
      <c r="B788" s="45"/>
      <c r="E788" s="139"/>
    </row>
    <row r="789">
      <c r="B789" s="45"/>
      <c r="E789" s="139"/>
    </row>
    <row r="790">
      <c r="B790" s="45"/>
      <c r="E790" s="139"/>
    </row>
    <row r="791">
      <c r="B791" s="45"/>
      <c r="E791" s="139"/>
    </row>
    <row r="792">
      <c r="B792" s="45"/>
      <c r="E792" s="139"/>
    </row>
    <row r="793">
      <c r="B793" s="45"/>
      <c r="E793" s="139"/>
    </row>
    <row r="794">
      <c r="B794" s="45"/>
      <c r="E794" s="139"/>
    </row>
    <row r="795">
      <c r="B795" s="45"/>
      <c r="E795" s="139"/>
    </row>
    <row r="796">
      <c r="B796" s="45"/>
      <c r="E796" s="139"/>
    </row>
    <row r="797">
      <c r="B797" s="45"/>
      <c r="E797" s="139"/>
    </row>
    <row r="798">
      <c r="B798" s="45"/>
      <c r="E798" s="139"/>
    </row>
    <row r="799">
      <c r="B799" s="45"/>
      <c r="E799" s="139"/>
    </row>
    <row r="800">
      <c r="B800" s="45"/>
      <c r="E800" s="139"/>
    </row>
    <row r="801">
      <c r="B801" s="45"/>
      <c r="E801" s="139"/>
    </row>
    <row r="802">
      <c r="B802" s="45"/>
      <c r="E802" s="139"/>
    </row>
    <row r="803">
      <c r="B803" s="45"/>
      <c r="E803" s="139"/>
    </row>
    <row r="804">
      <c r="B804" s="45"/>
      <c r="E804" s="139"/>
    </row>
    <row r="805">
      <c r="B805" s="45"/>
      <c r="E805" s="139"/>
    </row>
    <row r="806">
      <c r="B806" s="45"/>
      <c r="E806" s="139"/>
    </row>
    <row r="807">
      <c r="B807" s="45"/>
      <c r="E807" s="139"/>
    </row>
    <row r="808">
      <c r="B808" s="45"/>
      <c r="E808" s="139"/>
    </row>
    <row r="809">
      <c r="B809" s="45"/>
      <c r="E809" s="139"/>
    </row>
    <row r="810">
      <c r="B810" s="45"/>
      <c r="E810" s="139"/>
    </row>
    <row r="811">
      <c r="B811" s="45"/>
      <c r="E811" s="139"/>
    </row>
    <row r="812">
      <c r="B812" s="45"/>
      <c r="E812" s="139"/>
    </row>
    <row r="813">
      <c r="B813" s="45"/>
      <c r="E813" s="139"/>
    </row>
    <row r="814">
      <c r="B814" s="45"/>
      <c r="E814" s="139"/>
    </row>
    <row r="815">
      <c r="B815" s="45"/>
      <c r="E815" s="139"/>
    </row>
    <row r="816">
      <c r="B816" s="45"/>
      <c r="E816" s="139"/>
    </row>
    <row r="817">
      <c r="B817" s="45"/>
      <c r="E817" s="139"/>
    </row>
    <row r="818">
      <c r="B818" s="45"/>
      <c r="E818" s="139"/>
    </row>
    <row r="819">
      <c r="B819" s="45"/>
      <c r="E819" s="139"/>
    </row>
    <row r="820">
      <c r="B820" s="45"/>
      <c r="E820" s="139"/>
    </row>
    <row r="821">
      <c r="B821" s="45"/>
      <c r="E821" s="139"/>
    </row>
    <row r="822">
      <c r="B822" s="45"/>
      <c r="E822" s="139"/>
    </row>
    <row r="823">
      <c r="B823" s="45"/>
      <c r="E823" s="139"/>
    </row>
    <row r="824">
      <c r="B824" s="45"/>
      <c r="E824" s="139"/>
    </row>
    <row r="825">
      <c r="B825" s="45"/>
      <c r="E825" s="139"/>
    </row>
    <row r="826">
      <c r="B826" s="45"/>
      <c r="E826" s="139"/>
    </row>
    <row r="827">
      <c r="B827" s="45"/>
      <c r="E827" s="139"/>
    </row>
    <row r="828">
      <c r="B828" s="45"/>
      <c r="E828" s="139"/>
    </row>
    <row r="829">
      <c r="B829" s="45"/>
      <c r="E829" s="139"/>
    </row>
    <row r="830">
      <c r="B830" s="45"/>
      <c r="E830" s="139"/>
    </row>
    <row r="831">
      <c r="B831" s="45"/>
      <c r="E831" s="139"/>
    </row>
    <row r="832">
      <c r="B832" s="45"/>
      <c r="E832" s="139"/>
    </row>
    <row r="833">
      <c r="B833" s="45"/>
      <c r="E833" s="139"/>
    </row>
    <row r="834">
      <c r="B834" s="45"/>
      <c r="E834" s="139"/>
    </row>
    <row r="835">
      <c r="B835" s="45"/>
      <c r="E835" s="139"/>
    </row>
    <row r="836">
      <c r="B836" s="45"/>
      <c r="E836" s="139"/>
    </row>
    <row r="837">
      <c r="B837" s="45"/>
      <c r="E837" s="139"/>
    </row>
    <row r="838">
      <c r="B838" s="45"/>
      <c r="E838" s="139"/>
    </row>
    <row r="839">
      <c r="B839" s="45"/>
      <c r="E839" s="139"/>
    </row>
    <row r="840">
      <c r="B840" s="45"/>
      <c r="E840" s="139"/>
    </row>
    <row r="841">
      <c r="B841" s="45"/>
      <c r="E841" s="139"/>
    </row>
    <row r="842">
      <c r="B842" s="45"/>
      <c r="E842" s="139"/>
    </row>
    <row r="843">
      <c r="B843" s="45"/>
      <c r="E843" s="139"/>
    </row>
    <row r="844">
      <c r="B844" s="45"/>
      <c r="E844" s="139"/>
    </row>
    <row r="845">
      <c r="B845" s="45"/>
      <c r="E845" s="139"/>
    </row>
    <row r="846">
      <c r="B846" s="45"/>
      <c r="E846" s="139"/>
    </row>
    <row r="847">
      <c r="B847" s="45"/>
      <c r="E847" s="139"/>
    </row>
    <row r="848">
      <c r="B848" s="45"/>
      <c r="E848" s="139"/>
    </row>
    <row r="849">
      <c r="B849" s="45"/>
      <c r="E849" s="139"/>
    </row>
    <row r="850">
      <c r="B850" s="45"/>
      <c r="E850" s="139"/>
    </row>
    <row r="851">
      <c r="B851" s="45"/>
      <c r="E851" s="139"/>
    </row>
    <row r="852">
      <c r="B852" s="45"/>
      <c r="E852" s="139"/>
    </row>
    <row r="853">
      <c r="B853" s="45"/>
      <c r="E853" s="139"/>
    </row>
    <row r="854">
      <c r="B854" s="45"/>
      <c r="E854" s="139"/>
    </row>
    <row r="855">
      <c r="B855" s="45"/>
      <c r="E855" s="139"/>
    </row>
    <row r="856">
      <c r="B856" s="45"/>
      <c r="E856" s="139"/>
    </row>
    <row r="857">
      <c r="B857" s="45"/>
      <c r="E857" s="139"/>
    </row>
    <row r="858">
      <c r="B858" s="45"/>
      <c r="E858" s="139"/>
    </row>
    <row r="859">
      <c r="B859" s="45"/>
      <c r="E859" s="139"/>
    </row>
    <row r="860">
      <c r="B860" s="45"/>
      <c r="E860" s="139"/>
    </row>
    <row r="861">
      <c r="B861" s="45"/>
      <c r="E861" s="139"/>
    </row>
    <row r="862">
      <c r="B862" s="45"/>
      <c r="E862" s="139"/>
    </row>
    <row r="863">
      <c r="B863" s="45"/>
      <c r="E863" s="139"/>
    </row>
    <row r="864">
      <c r="B864" s="45"/>
      <c r="E864" s="139"/>
    </row>
    <row r="865">
      <c r="B865" s="45"/>
      <c r="E865" s="139"/>
    </row>
    <row r="866">
      <c r="B866" s="45"/>
      <c r="E866" s="139"/>
    </row>
    <row r="867">
      <c r="B867" s="45"/>
      <c r="E867" s="139"/>
    </row>
    <row r="868">
      <c r="B868" s="45"/>
      <c r="E868" s="139"/>
    </row>
    <row r="869">
      <c r="B869" s="45"/>
      <c r="E869" s="139"/>
    </row>
    <row r="870">
      <c r="B870" s="45"/>
      <c r="E870" s="139"/>
    </row>
    <row r="871">
      <c r="B871" s="45"/>
      <c r="E871" s="139"/>
    </row>
    <row r="872">
      <c r="B872" s="45"/>
      <c r="E872" s="139"/>
    </row>
    <row r="873">
      <c r="B873" s="45"/>
      <c r="E873" s="139"/>
    </row>
    <row r="874">
      <c r="B874" s="45"/>
      <c r="E874" s="139"/>
    </row>
    <row r="875">
      <c r="B875" s="45"/>
      <c r="E875" s="139"/>
    </row>
    <row r="876">
      <c r="B876" s="45"/>
      <c r="E876" s="139"/>
    </row>
    <row r="877">
      <c r="B877" s="45"/>
      <c r="E877" s="139"/>
    </row>
    <row r="878">
      <c r="B878" s="45"/>
      <c r="E878" s="139"/>
    </row>
    <row r="879">
      <c r="B879" s="45"/>
      <c r="E879" s="139"/>
    </row>
    <row r="880">
      <c r="B880" s="45"/>
      <c r="E880" s="139"/>
    </row>
    <row r="881">
      <c r="B881" s="45"/>
      <c r="E881" s="139"/>
    </row>
    <row r="882">
      <c r="B882" s="45"/>
      <c r="E882" s="139"/>
    </row>
    <row r="883">
      <c r="B883" s="45"/>
      <c r="E883" s="139"/>
    </row>
    <row r="884">
      <c r="B884" s="45"/>
      <c r="E884" s="139"/>
    </row>
    <row r="885">
      <c r="B885" s="45"/>
      <c r="E885" s="139"/>
    </row>
    <row r="886">
      <c r="B886" s="45"/>
      <c r="E886" s="139"/>
    </row>
    <row r="887">
      <c r="B887" s="45"/>
      <c r="E887" s="139"/>
    </row>
    <row r="888">
      <c r="B888" s="45"/>
      <c r="E888" s="139"/>
    </row>
    <row r="889">
      <c r="B889" s="45"/>
      <c r="E889" s="139"/>
    </row>
    <row r="890">
      <c r="B890" s="45"/>
      <c r="E890" s="139"/>
    </row>
    <row r="891">
      <c r="B891" s="45"/>
      <c r="E891" s="139"/>
    </row>
    <row r="892">
      <c r="B892" s="45"/>
      <c r="E892" s="139"/>
    </row>
    <row r="893">
      <c r="B893" s="45"/>
      <c r="E893" s="139"/>
    </row>
    <row r="894">
      <c r="B894" s="45"/>
      <c r="E894" s="139"/>
    </row>
    <row r="895">
      <c r="B895" s="45"/>
      <c r="E895" s="139"/>
    </row>
    <row r="896">
      <c r="B896" s="45"/>
      <c r="E896" s="139"/>
    </row>
    <row r="897">
      <c r="B897" s="45"/>
      <c r="E897" s="139"/>
    </row>
    <row r="898">
      <c r="B898" s="45"/>
      <c r="E898" s="139"/>
    </row>
    <row r="899">
      <c r="B899" s="45"/>
      <c r="E899" s="139"/>
    </row>
    <row r="900">
      <c r="B900" s="45"/>
      <c r="E900" s="139"/>
    </row>
    <row r="901">
      <c r="B901" s="45"/>
      <c r="E901" s="139"/>
    </row>
    <row r="902">
      <c r="B902" s="45"/>
      <c r="E902" s="139"/>
    </row>
    <row r="903">
      <c r="B903" s="45"/>
      <c r="E903" s="139"/>
    </row>
    <row r="904">
      <c r="B904" s="45"/>
      <c r="E904" s="139"/>
    </row>
    <row r="905">
      <c r="B905" s="45"/>
      <c r="E905" s="139"/>
    </row>
    <row r="906">
      <c r="B906" s="45"/>
      <c r="E906" s="139"/>
    </row>
    <row r="907">
      <c r="B907" s="45"/>
      <c r="E907" s="139"/>
    </row>
    <row r="908">
      <c r="B908" s="45"/>
      <c r="E908" s="139"/>
    </row>
    <row r="909">
      <c r="B909" s="45"/>
      <c r="E909" s="139"/>
    </row>
    <row r="910">
      <c r="B910" s="45"/>
      <c r="E910" s="139"/>
    </row>
    <row r="911">
      <c r="B911" s="45"/>
      <c r="E911" s="139"/>
    </row>
    <row r="912">
      <c r="B912" s="45"/>
      <c r="E912" s="139"/>
    </row>
    <row r="913">
      <c r="B913" s="45"/>
      <c r="E913" s="139"/>
    </row>
    <row r="914">
      <c r="B914" s="45"/>
      <c r="E914" s="139"/>
    </row>
    <row r="915">
      <c r="B915" s="45"/>
      <c r="E915" s="139"/>
    </row>
    <row r="916">
      <c r="B916" s="45"/>
      <c r="E916" s="139"/>
    </row>
    <row r="917">
      <c r="B917" s="45"/>
      <c r="E917" s="139"/>
    </row>
    <row r="918">
      <c r="B918" s="45"/>
      <c r="E918" s="139"/>
    </row>
    <row r="919">
      <c r="B919" s="45"/>
      <c r="E919" s="139"/>
    </row>
    <row r="920">
      <c r="B920" s="45"/>
      <c r="E920" s="139"/>
    </row>
    <row r="921">
      <c r="B921" s="45"/>
      <c r="E921" s="139"/>
    </row>
    <row r="922">
      <c r="B922" s="45"/>
      <c r="E922" s="139"/>
    </row>
    <row r="923">
      <c r="B923" s="45"/>
      <c r="E923" s="139"/>
    </row>
    <row r="924">
      <c r="B924" s="45"/>
      <c r="E924" s="139"/>
    </row>
    <row r="925">
      <c r="B925" s="45"/>
      <c r="E925" s="139"/>
    </row>
    <row r="926">
      <c r="B926" s="45"/>
      <c r="E926" s="139"/>
    </row>
    <row r="927">
      <c r="B927" s="45"/>
      <c r="E927" s="139"/>
    </row>
    <row r="928">
      <c r="B928" s="45"/>
      <c r="E928" s="139"/>
    </row>
    <row r="929">
      <c r="B929" s="45"/>
      <c r="E929" s="139"/>
    </row>
    <row r="930">
      <c r="B930" s="45"/>
      <c r="E930" s="139"/>
    </row>
    <row r="931">
      <c r="B931" s="45"/>
      <c r="E931" s="139"/>
    </row>
    <row r="932">
      <c r="B932" s="45"/>
      <c r="E932" s="139"/>
    </row>
    <row r="933">
      <c r="B933" s="45"/>
      <c r="E933" s="139"/>
    </row>
    <row r="934">
      <c r="B934" s="45"/>
      <c r="E934" s="139"/>
    </row>
    <row r="935">
      <c r="B935" s="45"/>
      <c r="E935" s="139"/>
    </row>
    <row r="936">
      <c r="B936" s="45"/>
      <c r="E936" s="139"/>
    </row>
    <row r="937">
      <c r="B937" s="45"/>
      <c r="E937" s="139"/>
    </row>
    <row r="938">
      <c r="B938" s="45"/>
      <c r="E938" s="139"/>
    </row>
    <row r="939">
      <c r="B939" s="45"/>
      <c r="E939" s="139"/>
    </row>
    <row r="940">
      <c r="B940" s="45"/>
      <c r="E940" s="139"/>
    </row>
    <row r="941">
      <c r="B941" s="45"/>
      <c r="E941" s="139"/>
    </row>
    <row r="942">
      <c r="B942" s="45"/>
      <c r="E942" s="139"/>
    </row>
    <row r="943">
      <c r="B943" s="45"/>
      <c r="E943" s="139"/>
    </row>
    <row r="944">
      <c r="B944" s="45"/>
      <c r="E944" s="139"/>
    </row>
    <row r="945">
      <c r="B945" s="45"/>
      <c r="E945" s="139"/>
    </row>
    <row r="946">
      <c r="B946" s="45"/>
      <c r="E946" s="139"/>
    </row>
    <row r="947">
      <c r="B947" s="45"/>
      <c r="E947" s="139"/>
    </row>
    <row r="948">
      <c r="B948" s="45"/>
      <c r="E948" s="139"/>
    </row>
    <row r="949">
      <c r="B949" s="45"/>
      <c r="E949" s="139"/>
    </row>
    <row r="950">
      <c r="B950" s="45"/>
      <c r="E950" s="139"/>
    </row>
    <row r="951">
      <c r="B951" s="45"/>
      <c r="E951" s="139"/>
    </row>
    <row r="952">
      <c r="B952" s="45"/>
      <c r="E952" s="139"/>
    </row>
    <row r="953">
      <c r="B953" s="45"/>
      <c r="E953" s="139"/>
    </row>
    <row r="954">
      <c r="B954" s="45"/>
      <c r="E954" s="139"/>
    </row>
    <row r="955">
      <c r="B955" s="45"/>
      <c r="E955" s="139"/>
    </row>
    <row r="956">
      <c r="B956" s="45"/>
      <c r="E956" s="139"/>
    </row>
    <row r="957">
      <c r="B957" s="45"/>
      <c r="E957" s="139"/>
    </row>
    <row r="958">
      <c r="B958" s="45"/>
      <c r="E958" s="139"/>
    </row>
    <row r="959">
      <c r="B959" s="45"/>
      <c r="E959" s="139"/>
    </row>
    <row r="960">
      <c r="B960" s="45"/>
      <c r="E960" s="139"/>
    </row>
    <row r="961">
      <c r="B961" s="45"/>
      <c r="E961" s="139"/>
    </row>
    <row r="962">
      <c r="B962" s="45"/>
      <c r="E962" s="139"/>
    </row>
    <row r="963">
      <c r="B963" s="45"/>
      <c r="E963" s="139"/>
    </row>
    <row r="964">
      <c r="B964" s="45"/>
      <c r="E964" s="139"/>
    </row>
    <row r="965">
      <c r="B965" s="45"/>
      <c r="E965" s="139"/>
    </row>
    <row r="966">
      <c r="B966" s="45"/>
      <c r="E966" s="139"/>
    </row>
    <row r="967">
      <c r="B967" s="45"/>
      <c r="E967" s="139"/>
    </row>
    <row r="968">
      <c r="B968" s="45"/>
      <c r="E968" s="139"/>
    </row>
    <row r="969">
      <c r="B969" s="45"/>
      <c r="E969" s="139"/>
    </row>
    <row r="970">
      <c r="B970" s="45"/>
      <c r="E970" s="139"/>
    </row>
    <row r="971">
      <c r="B971" s="45"/>
      <c r="E971" s="139"/>
    </row>
    <row r="972">
      <c r="B972" s="45"/>
      <c r="E972" s="139"/>
    </row>
    <row r="973">
      <c r="B973" s="45"/>
      <c r="E973" s="139"/>
    </row>
    <row r="974">
      <c r="B974" s="45"/>
      <c r="E974" s="139"/>
    </row>
    <row r="975">
      <c r="B975" s="45"/>
      <c r="E975" s="139"/>
    </row>
    <row r="976">
      <c r="B976" s="45"/>
      <c r="E976" s="139"/>
    </row>
    <row r="977">
      <c r="B977" s="45"/>
      <c r="E977" s="139"/>
    </row>
    <row r="978">
      <c r="B978" s="45"/>
      <c r="E978" s="139"/>
    </row>
    <row r="979">
      <c r="B979" s="45"/>
      <c r="E979" s="139"/>
    </row>
    <row r="980">
      <c r="B980" s="45"/>
      <c r="E980" s="139"/>
    </row>
    <row r="981">
      <c r="B981" s="45"/>
      <c r="E981" s="139"/>
    </row>
    <row r="982">
      <c r="B982" s="45"/>
      <c r="E982" s="139"/>
    </row>
    <row r="983">
      <c r="B983" s="45"/>
      <c r="E983" s="139"/>
    </row>
    <row r="984">
      <c r="B984" s="45"/>
      <c r="E984" s="139"/>
    </row>
    <row r="985">
      <c r="B985" s="45"/>
      <c r="E985" s="139"/>
    </row>
    <row r="986">
      <c r="B986" s="45"/>
      <c r="E986" s="139"/>
    </row>
    <row r="987">
      <c r="B987" s="45"/>
      <c r="E987" s="139"/>
    </row>
    <row r="988">
      <c r="B988" s="45"/>
      <c r="E988" s="139"/>
    </row>
    <row r="989">
      <c r="B989" s="45"/>
      <c r="E989" s="139"/>
    </row>
    <row r="990">
      <c r="B990" s="45"/>
      <c r="E990" s="139"/>
    </row>
    <row r="991">
      <c r="B991" s="45"/>
      <c r="E991" s="139"/>
    </row>
    <row r="992">
      <c r="B992" s="45"/>
      <c r="E992" s="139"/>
    </row>
    <row r="993">
      <c r="B993" s="45"/>
      <c r="E993" s="139"/>
    </row>
    <row r="994">
      <c r="B994" s="45"/>
      <c r="E994" s="139"/>
    </row>
    <row r="995">
      <c r="B995" s="45"/>
      <c r="E995" s="139"/>
    </row>
    <row r="996">
      <c r="B996" s="45"/>
      <c r="E996" s="139"/>
    </row>
    <row r="997">
      <c r="B997" s="45"/>
      <c r="E997" s="139"/>
    </row>
    <row r="998">
      <c r="B998" s="45"/>
      <c r="E998" s="139"/>
    </row>
    <row r="999">
      <c r="B999" s="45"/>
      <c r="E999" s="139"/>
    </row>
    <row r="1000">
      <c r="B1000" s="45"/>
      <c r="E1000" s="139"/>
    </row>
    <row r="1001">
      <c r="B1001" s="45"/>
      <c r="E1001" s="139"/>
    </row>
    <row r="1002">
      <c r="B1002" s="45"/>
      <c r="E1002" s="139"/>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s>
  <sheetData>
    <row r="2">
      <c r="B2" s="11" t="s">
        <v>72</v>
      </c>
      <c r="C2" s="11">
        <f>Concentrates!B8</f>
        <v>100</v>
      </c>
    </row>
    <row r="3">
      <c r="B3" s="11" t="s">
        <v>73</v>
      </c>
      <c r="C3" s="11">
        <v>110.98</v>
      </c>
      <c r="H3" s="11" t="s">
        <v>74</v>
      </c>
      <c r="I3" s="11" t="s">
        <v>75</v>
      </c>
      <c r="J3" s="11" t="s">
        <v>76</v>
      </c>
    </row>
    <row r="4">
      <c r="B4" s="11" t="s">
        <v>77</v>
      </c>
      <c r="C4" s="11">
        <v>100.0869</v>
      </c>
      <c r="I4" s="11">
        <v>5.0</v>
      </c>
      <c r="J4" s="11">
        <v>1.04</v>
      </c>
    </row>
    <row r="5">
      <c r="B5" s="11" t="s">
        <v>78</v>
      </c>
      <c r="C5" s="160">
        <f>C3/C4</f>
        <v>1.108836421</v>
      </c>
      <c r="I5" s="11">
        <v>10.0</v>
      </c>
      <c r="J5" s="11">
        <v>1.083</v>
      </c>
    </row>
    <row r="6">
      <c r="I6" s="11">
        <v>15.0</v>
      </c>
      <c r="J6" s="11">
        <v>1.13</v>
      </c>
    </row>
    <row r="7">
      <c r="B7" s="11" t="s">
        <v>79</v>
      </c>
      <c r="C7" s="160">
        <f>0.0102*C2+0.98</f>
        <v>2</v>
      </c>
      <c r="I7" s="11">
        <v>20.0</v>
      </c>
      <c r="J7" s="11">
        <v>1.175</v>
      </c>
    </row>
    <row r="8">
      <c r="B8" s="11" t="s">
        <v>80</v>
      </c>
      <c r="C8" s="160">
        <f>((C2)*(C7*1000))/(C3*100)</f>
        <v>18.02126509</v>
      </c>
      <c r="I8" s="11">
        <v>25.0</v>
      </c>
      <c r="J8" s="11">
        <v>1.228</v>
      </c>
    </row>
    <row r="9">
      <c r="I9" s="11">
        <v>30.0</v>
      </c>
      <c r="J9" s="11">
        <v>1.282</v>
      </c>
    </row>
    <row r="10">
      <c r="B10" s="11" t="s">
        <v>81</v>
      </c>
      <c r="C10" s="160">
        <f>(C8*C3)*1000</f>
        <v>2000000</v>
      </c>
      <c r="I10" s="11">
        <v>35.0</v>
      </c>
      <c r="J10" s="11">
        <v>1.338</v>
      </c>
    </row>
    <row r="11">
      <c r="B11" s="11" t="s">
        <v>82</v>
      </c>
      <c r="C11" s="160">
        <f>C10/C5</f>
        <v>1803692.557</v>
      </c>
      <c r="I11" s="11">
        <v>40.0</v>
      </c>
      <c r="J11" s="11">
        <v>1.395</v>
      </c>
    </row>
    <row r="18">
      <c r="B18" s="11" t="s">
        <v>83</v>
      </c>
      <c r="C18" s="10">
        <f>round(((Concentrates!B5*Concentrates!C16)/'CaCl2 Solution'!C11),2)</f>
        <v>7.92</v>
      </c>
    </row>
    <row r="19">
      <c r="B19" s="11" t="s">
        <v>84</v>
      </c>
      <c r="C19" s="161">
        <f>round(((Concentrates!B5*Concentrates!C16)/'CaCl2 Solution'!C11)*'CaCl2 Solution'!C7,2)</f>
        <v>15.84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s>
  <sheetData>
    <row r="2">
      <c r="B2" s="11" t="s">
        <v>72</v>
      </c>
      <c r="C2" s="11">
        <v>100.0</v>
      </c>
    </row>
    <row r="3">
      <c r="B3" s="11" t="s">
        <v>73</v>
      </c>
      <c r="C3" s="11">
        <v>110.98</v>
      </c>
      <c r="H3" s="11" t="s">
        <v>74</v>
      </c>
      <c r="I3" s="11" t="s">
        <v>75</v>
      </c>
      <c r="J3" s="11" t="s">
        <v>76</v>
      </c>
    </row>
    <row r="4">
      <c r="B4" s="11" t="s">
        <v>77</v>
      </c>
      <c r="C4" s="11">
        <v>100.0869</v>
      </c>
      <c r="I4" s="11">
        <v>5.0</v>
      </c>
      <c r="J4" s="11">
        <v>1.04</v>
      </c>
    </row>
    <row r="5">
      <c r="B5" s="11" t="s">
        <v>78</v>
      </c>
      <c r="C5" s="160">
        <f>C3/C4</f>
        <v>1.108836421</v>
      </c>
      <c r="I5" s="11">
        <v>10.0</v>
      </c>
      <c r="J5" s="11">
        <v>1.083</v>
      </c>
    </row>
    <row r="6">
      <c r="I6" s="11">
        <v>15.0</v>
      </c>
      <c r="J6" s="11">
        <v>1.13</v>
      </c>
    </row>
    <row r="7">
      <c r="B7" s="11" t="s">
        <v>79</v>
      </c>
      <c r="C7" s="160">
        <f>0.0102*C2+0.98</f>
        <v>2</v>
      </c>
      <c r="I7" s="11">
        <v>20.0</v>
      </c>
      <c r="J7" s="11">
        <v>1.175</v>
      </c>
    </row>
    <row r="8">
      <c r="B8" s="11" t="s">
        <v>80</v>
      </c>
      <c r="C8" s="160">
        <f>((C2)*(C7*1000))/(C3*100)</f>
        <v>18.02126509</v>
      </c>
      <c r="I8" s="11">
        <v>25.0</v>
      </c>
      <c r="J8" s="11">
        <v>1.228</v>
      </c>
    </row>
    <row r="9">
      <c r="I9" s="11">
        <v>30.0</v>
      </c>
      <c r="J9" s="11">
        <v>1.282</v>
      </c>
    </row>
    <row r="10">
      <c r="B10" s="11" t="s">
        <v>81</v>
      </c>
      <c r="C10" s="160">
        <f>(C8*C3)*1000</f>
        <v>2000000</v>
      </c>
      <c r="I10" s="11">
        <v>35.0</v>
      </c>
      <c r="J10" s="11">
        <v>1.338</v>
      </c>
    </row>
    <row r="11">
      <c r="B11" s="11" t="s">
        <v>82</v>
      </c>
      <c r="C11" s="160">
        <f>C10/C5</f>
        <v>1803692.557</v>
      </c>
      <c r="I11" s="11">
        <v>40.0</v>
      </c>
      <c r="J11" s="11">
        <v>1.395</v>
      </c>
    </row>
    <row r="18">
      <c r="B18" s="11" t="s">
        <v>83</v>
      </c>
      <c r="C18" s="10">
        <f>round(((Concentrates!B5*Concentrates!C16)/'Copy of CaCl2 Solution'!C11),2)</f>
        <v>7.92</v>
      </c>
    </row>
    <row r="19">
      <c r="B19" s="11" t="s">
        <v>84</v>
      </c>
      <c r="C19" s="161">
        <f>round(((Concentrates!B5*Concentrates!C16)/'Copy of CaCl2 Solution'!C11)*'Copy of CaCl2 Solution'!C7,2)</f>
        <v>15.84</v>
      </c>
    </row>
  </sheetData>
  <drawing r:id="rId1"/>
</worksheet>
</file>